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Pipelin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arch Log" sheetId="3" state="visible" r:id="rId3"/>
    <sheet xmlns:r="http://schemas.openxmlformats.org/officeDocument/2006/relationships" name="Follow-Up Queue" sheetId="4" state="visible" r:id="rId4"/>
  </sheets>
  <definedNames>
    <definedName name="_xlnm._FilterDatabase" localSheetId="0" hidden="1">'Prospect Pipeline'!$A$1:$P$500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2e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e8e6e1"/>
      </left>
      <right style="thin">
        <color rgb="00e8e6e1"/>
      </right>
      <top style="thin">
        <color rgb="00e8e6e1"/>
      </top>
      <bottom style="thin">
        <color rgb="00e8e6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4" customWidth="1" min="4" max="4"/>
    <col width="18" customWidth="1" min="5" max="5"/>
    <col width="16" customWidth="1" min="6" max="6"/>
    <col width="35" customWidth="1" min="7" max="7"/>
    <col width="10" customWidth="1" min="8" max="8"/>
    <col width="18" customWidth="1" min="9" max="9"/>
    <col width="16" customWidth="1" min="10" max="10"/>
    <col width="13" customWidth="1" min="11" max="11"/>
    <col width="14" customWidth="1" min="12" max="12"/>
    <col width="18" customWidth="1" min="13" max="13"/>
    <col width="14" customWidth="1" min="14" max="14"/>
    <col width="40" customWidth="1" min="15" max="15"/>
    <col width="15" customWidth="1" min="16" max="16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Company Size</t>
        </is>
      </c>
      <c r="E1" s="1" t="inlineStr">
        <is>
          <t>Location</t>
        </is>
      </c>
      <c r="F1" s="1" t="inlineStr">
        <is>
          <t>Port Proximity</t>
        </is>
      </c>
      <c r="G1" s="1" t="inlineStr">
        <is>
          <t>Profile URL</t>
        </is>
      </c>
      <c r="H1" s="1" t="inlineStr">
        <is>
          <t>ICP Score</t>
        </is>
      </c>
      <c r="I1" s="1" t="inlineStr">
        <is>
          <t>Connection Status</t>
        </is>
      </c>
      <c r="J1" s="1" t="inlineStr">
        <is>
          <t>Message Variant</t>
        </is>
      </c>
      <c r="K1" s="1" t="inlineStr">
        <is>
          <t>Date Sent</t>
        </is>
      </c>
      <c r="L1" s="1" t="inlineStr">
        <is>
          <t>Date Accepted</t>
        </is>
      </c>
      <c r="M1" s="1" t="inlineStr">
        <is>
          <t>Follow-Up Status</t>
        </is>
      </c>
      <c r="N1" s="1" t="inlineStr">
        <is>
          <t>Follow-Up Date</t>
        </is>
      </c>
      <c r="O1" s="1" t="inlineStr">
        <is>
          <t>Notes</t>
        </is>
      </c>
      <c r="P1" s="1" t="inlineStr">
        <is>
          <t>Referral Terms</t>
        </is>
      </c>
    </row>
    <row r="2">
      <c r="A2" s="2" t="inlineStr">
        <is>
          <t>Arnoldo Gonzalez Torres</t>
        </is>
      </c>
      <c r="B2" s="2" t="inlineStr">
        <is>
          <t>President &amp; Licensed Customs Broker</t>
        </is>
      </c>
      <c r="C2" s="2" t="inlineStr">
        <is>
          <t>Quantum Customs Brokerage</t>
        </is>
      </c>
      <c r="D2" s="2" t="n"/>
      <c r="E2" s="2" t="inlineStr">
        <is>
          <t>San Diego, CA</t>
        </is>
      </c>
      <c r="F2" s="2" t="inlineStr">
        <is>
          <t>Port City</t>
        </is>
      </c>
      <c r="G2" s="2" t="inlineStr">
        <is>
          <t>https://www.linkedin.com/sales/lead/ACwAABVNGAMB_C3MB9Mma8bCRwBU7QidR9qEyvk</t>
        </is>
      </c>
      <c r="H2" s="2" t="inlineStr">
        <is>
          <t>Tier 1</t>
        </is>
      </c>
      <c r="I2" s="2" t="inlineStr">
        <is>
          <t>Request Sent</t>
        </is>
      </c>
      <c r="J2" s="2" t="inlineStr">
        <is>
          <t>A-Custom (old template)</t>
        </is>
      </c>
      <c r="K2" s="3" t="inlineStr">
        <is>
          <t>2026-03-26</t>
        </is>
      </c>
      <c r="L2" s="3" t="n"/>
      <c r="M2" s="2" t="inlineStr">
        <is>
          <t>Not Yet</t>
        </is>
      </c>
      <c r="N2" s="3" t="n"/>
      <c r="O2" s="2" t="inlineStr">
        <is>
          <t>2nd degree. President &amp; LCB at San Diego brokerage. High-value prospect.</t>
        </is>
      </c>
      <c r="P2" s="2" t="n"/>
    </row>
    <row r="3">
      <c r="A3" s="2" t="inlineStr">
        <is>
          <t>Thomas Donegan</t>
        </is>
      </c>
      <c r="B3" s="2" t="inlineStr">
        <is>
          <t>Director, Americas Trade Compliance</t>
        </is>
      </c>
      <c r="C3" s="2" t="inlineStr">
        <is>
          <t>Unknown (Nashville)</t>
        </is>
      </c>
      <c r="D3" s="2" t="n"/>
      <c r="E3" s="2" t="inlineStr">
        <is>
          <t>Nashville, TN</t>
        </is>
      </c>
      <c r="F3" s="2" t="inlineStr">
        <is>
          <t>Inland</t>
        </is>
      </c>
      <c r="G3" s="2" t="inlineStr">
        <is>
          <t>https://www.linkedin.com/sales/lead/ACwAAACyP8AB2X278I1GscTjcry3P-Z9gt8A3N8</t>
        </is>
      </c>
      <c r="H3" s="2" t="inlineStr">
        <is>
          <t>Tier 2</t>
        </is>
      </c>
      <c r="I3" s="2" t="inlineStr">
        <is>
          <t>Request Sent</t>
        </is>
      </c>
      <c r="J3" s="2" t="inlineStr">
        <is>
          <t>A-Custom (old template, truncated)</t>
        </is>
      </c>
      <c r="K3" s="3" t="inlineStr">
        <is>
          <t>2026-03-26</t>
        </is>
      </c>
      <c r="L3" s="3" t="n"/>
      <c r="M3" s="2" t="inlineStr">
        <is>
          <t>Not Yet</t>
        </is>
      </c>
      <c r="N3" s="3" t="n"/>
      <c r="O3" s="2" t="inlineStr">
        <is>
          <t>2nd degree. Trade compliance director. Message truncated at 300 chars.</t>
        </is>
      </c>
      <c r="P3" s="2" t="n"/>
    </row>
    <row r="4">
      <c r="A4" s="2" t="inlineStr">
        <is>
          <t>Deepak Mulchandani, L.C.B., C.C.S.</t>
        </is>
      </c>
      <c r="B4" s="2" t="inlineStr">
        <is>
          <t>Trade &amp; Customs Compliance Analyst</t>
        </is>
      </c>
      <c r="C4" s="2" t="inlineStr">
        <is>
          <t>Benjamin Moore &amp; Co.</t>
        </is>
      </c>
      <c r="D4" s="2" t="n"/>
      <c r="E4" s="2" t="inlineStr">
        <is>
          <t>New Jersey</t>
        </is>
      </c>
      <c r="F4" s="2" t="inlineStr">
        <is>
          <t>Port Adjacent</t>
        </is>
      </c>
      <c r="G4" s="2" t="inlineStr">
        <is>
          <t>https://www.linkedin.com/sales/lead/ACwAABq0wR8B73J9v-jGbXy1mMUWVdcTfO8UYvo</t>
        </is>
      </c>
      <c r="H4" s="2" t="inlineStr">
        <is>
          <t>Tier 1</t>
        </is>
      </c>
      <c r="I4" s="2" t="inlineStr">
        <is>
          <t>Request Sent</t>
        </is>
      </c>
      <c r="J4" s="2" t="inlineStr">
        <is>
          <t>A-Custom (old template)</t>
        </is>
      </c>
      <c r="K4" s="3" t="inlineStr">
        <is>
          <t>2026-03-26</t>
        </is>
      </c>
      <c r="L4" s="3" t="n"/>
      <c r="M4" s="2" t="inlineStr">
        <is>
          <t>Not Yet</t>
        </is>
      </c>
      <c r="N4" s="3" t="n"/>
      <c r="O4" s="2" t="inlineStr">
        <is>
          <t>3rd degree. LCB + CCS credentials. Corporate importer side.</t>
        </is>
      </c>
      <c r="P4" s="2" t="n"/>
    </row>
    <row r="5">
      <c r="A5" s="2" t="inlineStr">
        <is>
          <t>Carey King-Jankiewicz</t>
        </is>
      </c>
      <c r="B5" s="2" t="inlineStr">
        <is>
          <t>Sr. Customs Broker</t>
        </is>
      </c>
      <c r="C5" s="2" t="inlineStr">
        <is>
          <t>Imperative Logistics</t>
        </is>
      </c>
      <c r="D5" s="2" t="n"/>
      <c r="E5" s="2" t="inlineStr">
        <is>
          <t>New York, NY</t>
        </is>
      </c>
      <c r="F5" s="2" t="inlineStr">
        <is>
          <t>Port City</t>
        </is>
      </c>
      <c r="G5" s="2" t="inlineStr">
        <is>
          <t>https://www.linkedin.com/sales/lead/ACwAAAZT6DkBg1J8qRtLhbnmWtckyp6mra0By5M</t>
        </is>
      </c>
      <c r="H5" s="2" t="inlineStr">
        <is>
          <t>Tier 1</t>
        </is>
      </c>
      <c r="I5" s="2" t="inlineStr">
        <is>
          <t>Request Sent</t>
        </is>
      </c>
      <c r="J5" s="2" t="inlineStr">
        <is>
          <t>A-Custom (old template)</t>
        </is>
      </c>
      <c r="K5" s="3" t="inlineStr">
        <is>
          <t>2026-03-26</t>
        </is>
      </c>
      <c r="L5" s="3" t="n"/>
      <c r="M5" s="2" t="inlineStr">
        <is>
          <t>Not Yet</t>
        </is>
      </c>
      <c r="N5" s="3" t="n"/>
      <c r="O5" s="2" t="inlineStr">
        <is>
          <t>3rd degree. Sr. Customs Broker at NYC logistics firm.</t>
        </is>
      </c>
      <c r="P5" s="2" t="n"/>
    </row>
    <row r="6">
      <c r="A6" s="2" t="inlineStr">
        <is>
          <t>Ian Pinchuk, LCB</t>
        </is>
      </c>
      <c r="B6" s="2" t="inlineStr">
        <is>
          <t>Director, International Logistics</t>
        </is>
      </c>
      <c r="C6" s="2" t="inlineStr">
        <is>
          <t>Variety Wholesalers, Inc.</t>
        </is>
      </c>
      <c r="D6" s="2" t="n"/>
      <c r="E6" s="2" t="inlineStr">
        <is>
          <t>Columbus, OH</t>
        </is>
      </c>
      <c r="F6" s="2" t="inlineStr">
        <is>
          <t>Inland</t>
        </is>
      </c>
      <c r="G6" s="2" t="inlineStr">
        <is>
          <t>https://www.linkedin.com/sales/lead/ACwAAADCgKoBseQlv0rcyQjtocs_8PtF6pUfhRQ</t>
        </is>
      </c>
      <c r="H6" s="2" t="inlineStr">
        <is>
          <t>Tier 2</t>
        </is>
      </c>
      <c r="I6" s="2" t="inlineStr">
        <is>
          <t>Request Sent</t>
        </is>
      </c>
      <c r="J6" s="2" t="inlineStr">
        <is>
          <t>A-Custom (old template, truncated)</t>
        </is>
      </c>
      <c r="K6" s="3" t="inlineStr">
        <is>
          <t>2026-03-26</t>
        </is>
      </c>
      <c r="L6" s="3" t="n"/>
      <c r="M6" s="2" t="inlineStr">
        <is>
          <t>Not Yet</t>
        </is>
      </c>
      <c r="N6" s="3" t="n"/>
      <c r="O6" s="2" t="inlineStr">
        <is>
          <t>3rd degree. LCB, recently hired. 20+ yrs customs/trade/CTPAT. Message truncated at 300 chars.</t>
        </is>
      </c>
      <c r="P6" s="2" t="n"/>
    </row>
    <row r="7">
      <c r="A7" s="2" t="inlineStr">
        <is>
          <t>Matt Navach</t>
        </is>
      </c>
      <c r="B7" s="2" t="inlineStr">
        <is>
          <t>Global Trade Compliance &amp; Customs Advisor</t>
        </is>
      </c>
      <c r="C7" s="2" t="inlineStr">
        <is>
          <t>MJN Consulting</t>
        </is>
      </c>
      <c r="D7" s="2" t="n"/>
      <c r="E7" s="2" t="inlineStr">
        <is>
          <t>Los Angeles, CA</t>
        </is>
      </c>
      <c r="F7" s="2" t="inlineStr">
        <is>
          <t>Port City</t>
        </is>
      </c>
      <c r="G7" s="2" t="inlineStr">
        <is>
          <t>https://www.linkedin.com/sales/lead/ACwAAAEBRzABlg5Cz5QvT00X7_A-IQlgW7nwelc</t>
        </is>
      </c>
      <c r="H7" s="2" t="inlineStr">
        <is>
          <t>Tier 1</t>
        </is>
      </c>
      <c r="I7" s="2" t="inlineStr">
        <is>
          <t>Request Sent</t>
        </is>
      </c>
      <c r="J7" s="2" t="inlineStr">
        <is>
          <t>A-Custom (new template)</t>
        </is>
      </c>
      <c r="K7" s="3" t="inlineStr">
        <is>
          <t>2026-03-26</t>
        </is>
      </c>
      <c r="L7" s="3" t="n"/>
      <c r="M7" s="2" t="inlineStr">
        <is>
          <t>Not Yet</t>
        </is>
      </c>
      <c r="N7" s="3" t="n"/>
      <c r="O7" s="2" t="inlineStr">
        <is>
          <t>3rd degree. LCB, Empowered Official. L3Harris/Northrop Grumman background. New shorter template used.</t>
        </is>
      </c>
      <c r="P7" s="2" t="n"/>
    </row>
    <row r="8">
      <c r="A8" s="2" t="inlineStr">
        <is>
          <t>Jake Holzscheiter</t>
        </is>
      </c>
      <c r="B8" s="2" t="inlineStr">
        <is>
          <t>VP Customs Brokerage</t>
        </is>
      </c>
      <c r="C8" s="2" t="inlineStr">
        <is>
          <t>A.N. Deringer</t>
        </is>
      </c>
      <c r="D8" s="2" t="n"/>
      <c r="E8" s="2" t="n"/>
      <c r="F8" s="2" t="n"/>
      <c r="G8" s="2" t="n"/>
      <c r="H8" s="2" t="inlineStr">
        <is>
          <t>Tier 2</t>
        </is>
      </c>
      <c r="I8" s="2" t="inlineStr">
        <is>
          <t>Request Sent</t>
        </is>
      </c>
      <c r="J8" s="2" t="inlineStr">
        <is>
          <t>NCBFAA Template</t>
        </is>
      </c>
      <c r="K8" s="3" t="inlineStr">
        <is>
          <t>2026-03-26</t>
        </is>
      </c>
      <c r="L8" s="3" t="n"/>
      <c r="M8" s="2" t="inlineStr">
        <is>
          <t>Not Yet</t>
        </is>
      </c>
      <c r="N8" s="3" t="n"/>
      <c r="O8" s="2" t="inlineStr">
        <is>
          <t>NCBFAA member. 3rd degree.</t>
        </is>
      </c>
      <c r="P8" s="2" t="n"/>
    </row>
    <row r="9">
      <c r="A9" s="2" t="inlineStr">
        <is>
          <t>Karen Damon</t>
        </is>
      </c>
      <c r="B9" s="2" t="inlineStr">
        <is>
          <t>VP Trade Advisory Services</t>
        </is>
      </c>
      <c r="C9" s="2" t="inlineStr">
        <is>
          <t>Mohawk Global</t>
        </is>
      </c>
      <c r="D9" s="2" t="n"/>
      <c r="E9" s="2" t="n"/>
      <c r="F9" s="2" t="n"/>
      <c r="G9" s="2" t="n"/>
      <c r="H9" s="2" t="inlineStr">
        <is>
          <t>Tier 2</t>
        </is>
      </c>
      <c r="I9" s="2" t="inlineStr">
        <is>
          <t>Request Sent</t>
        </is>
      </c>
      <c r="J9" s="2" t="inlineStr">
        <is>
          <t>NCBFAA Template</t>
        </is>
      </c>
      <c r="K9" s="3" t="inlineStr">
        <is>
          <t>2026-03-26</t>
        </is>
      </c>
      <c r="L9" s="3" t="n"/>
      <c r="M9" s="2" t="inlineStr">
        <is>
          <t>Not Yet</t>
        </is>
      </c>
      <c r="N9" s="3" t="n"/>
      <c r="O9" s="2" t="inlineStr">
        <is>
          <t>NCBFAA member. 3rd degree.</t>
        </is>
      </c>
      <c r="P9" s="2" t="n"/>
    </row>
    <row r="10">
      <c r="A10" s="2" t="inlineStr">
        <is>
          <t>Dana Hancock</t>
        </is>
      </c>
      <c r="B10" s="2" t="inlineStr">
        <is>
          <t>VP Customs Brokerage</t>
        </is>
      </c>
      <c r="C10" s="2" t="inlineStr">
        <is>
          <t>Mainfreight</t>
        </is>
      </c>
      <c r="D10" s="2" t="n"/>
      <c r="E10" s="2" t="n"/>
      <c r="F10" s="2" t="n"/>
      <c r="G10" s="2" t="n"/>
      <c r="H10" s="2" t="inlineStr">
        <is>
          <t>Tier 2</t>
        </is>
      </c>
      <c r="I10" s="2" t="inlineStr">
        <is>
          <t>Request Sent</t>
        </is>
      </c>
      <c r="J10" s="2" t="inlineStr">
        <is>
          <t>NCBFAA Template</t>
        </is>
      </c>
      <c r="K10" s="3" t="inlineStr">
        <is>
          <t>2026-03-26</t>
        </is>
      </c>
      <c r="L10" s="3" t="n"/>
      <c r="M10" s="2" t="inlineStr">
        <is>
          <t>Not Yet</t>
        </is>
      </c>
      <c r="N10" s="3" t="n"/>
      <c r="O10" s="2" t="inlineStr">
        <is>
          <t>NCBFAA member. 3rd degree.</t>
        </is>
      </c>
      <c r="P10" s="2" t="n"/>
    </row>
    <row r="11">
      <c r="A11" t="inlineStr">
        <is>
          <t>Jeff McCauley</t>
        </is>
      </c>
      <c r="B11" t="inlineStr">
        <is>
          <t>Head of Customs Brokerage</t>
        </is>
      </c>
      <c r="C11" t="inlineStr">
        <is>
          <t>DHL</t>
        </is>
      </c>
      <c r="H11" t="inlineStr">
        <is>
          <t>Tier 1</t>
        </is>
      </c>
      <c r="I11" t="inlineStr">
        <is>
          <t>Request Sent</t>
        </is>
      </c>
      <c r="J11" t="inlineStr">
        <is>
          <t>NCBFAA Template</t>
        </is>
      </c>
      <c r="K11" s="4" t="inlineStr">
        <is>
          <t>2026-03-26</t>
        </is>
      </c>
      <c r="L11" s="4" t="n"/>
      <c r="M11" t="inlineStr">
        <is>
          <t>Not Yet</t>
        </is>
      </c>
      <c r="N11" s="4" t="n"/>
      <c r="O11" t="inlineStr">
        <is>
          <t>NCBFAA member. 3rd degree. DHL = major broker.</t>
        </is>
      </c>
    </row>
    <row r="12">
      <c r="A12" t="inlineStr">
        <is>
          <t>Vanessa Rambo</t>
        </is>
      </c>
      <c r="B12" t="inlineStr">
        <is>
          <t>Director Customs Brokerage</t>
        </is>
      </c>
      <c r="C12" t="inlineStr">
        <is>
          <t>SEKO Logistics</t>
        </is>
      </c>
      <c r="H12" t="inlineStr">
        <is>
          <t>Tier 2</t>
        </is>
      </c>
      <c r="I12" t="inlineStr">
        <is>
          <t>Request Sent</t>
        </is>
      </c>
      <c r="J12" t="inlineStr">
        <is>
          <t>NCBFAA Template</t>
        </is>
      </c>
      <c r="K12" s="4" t="inlineStr">
        <is>
          <t>2026-03-26</t>
        </is>
      </c>
      <c r="L12" s="4" t="n"/>
      <c r="M12" t="inlineStr">
        <is>
          <t>Not Yet</t>
        </is>
      </c>
      <c r="N12" s="4" t="n"/>
      <c r="O12" t="inlineStr">
        <is>
          <t>NCBFAA member. 3rd degree.</t>
        </is>
      </c>
    </row>
    <row r="13">
      <c r="A13" t="inlineStr">
        <is>
          <t>Kendra Hobbs</t>
        </is>
      </c>
      <c r="B13" t="inlineStr">
        <is>
          <t>Director Customs Brokerage</t>
        </is>
      </c>
      <c r="C13" t="inlineStr">
        <is>
          <t>Hellmann Worldwide Logistics</t>
        </is>
      </c>
      <c r="H13" t="inlineStr">
        <is>
          <t>Tier 2</t>
        </is>
      </c>
      <c r="I13" t="inlineStr">
        <is>
          <t>Request Sent</t>
        </is>
      </c>
      <c r="J13" t="inlineStr">
        <is>
          <t>NCBFAA Template</t>
        </is>
      </c>
      <c r="K13" s="4" t="inlineStr">
        <is>
          <t>2026-03-26</t>
        </is>
      </c>
      <c r="L13" s="4" t="n"/>
      <c r="M13" t="inlineStr">
        <is>
          <t>Not Yet</t>
        </is>
      </c>
      <c r="N13" s="4" t="n"/>
      <c r="O13" t="inlineStr">
        <is>
          <t>NCBFAA member. 3rd degree.</t>
        </is>
      </c>
    </row>
    <row r="14">
      <c r="A14" t="inlineStr">
        <is>
          <t>Erin Tartaglia</t>
        </is>
      </c>
      <c r="B14" t="inlineStr">
        <is>
          <t>VP Customs</t>
        </is>
      </c>
      <c r="C14" t="inlineStr">
        <is>
          <t>GEODIS</t>
        </is>
      </c>
      <c r="H14" t="inlineStr">
        <is>
          <t>Tier 2</t>
        </is>
      </c>
      <c r="I14" t="inlineStr">
        <is>
          <t>Request Sent</t>
        </is>
      </c>
      <c r="J14" t="inlineStr">
        <is>
          <t>NCBFAA Template</t>
        </is>
      </c>
      <c r="K14" s="4" t="inlineStr">
        <is>
          <t>2026-03-26</t>
        </is>
      </c>
      <c r="L14" s="4" t="n"/>
      <c r="M14" t="inlineStr">
        <is>
          <t>Not Yet</t>
        </is>
      </c>
      <c r="N14" s="4" t="n"/>
      <c r="O14" t="inlineStr">
        <is>
          <t>NCBFAA member (née Williamson). 3rd degree.</t>
        </is>
      </c>
    </row>
    <row r="15">
      <c r="A15" t="inlineStr">
        <is>
          <t>Laurie Arnold</t>
        </is>
      </c>
      <c r="B15" t="inlineStr">
        <is>
          <t>VP Compliance</t>
        </is>
      </c>
      <c r="C15" t="inlineStr">
        <is>
          <t>JAS Forwarding</t>
        </is>
      </c>
      <c r="E15" t="inlineStr">
        <is>
          <t>Atlanta, GA</t>
        </is>
      </c>
      <c r="H15" t="inlineStr">
        <is>
          <t>Tier 2</t>
        </is>
      </c>
      <c r="I15" t="inlineStr">
        <is>
          <t>Request Sent</t>
        </is>
      </c>
      <c r="J15" t="inlineStr">
        <is>
          <t>NCBFAA Template</t>
        </is>
      </c>
      <c r="K15" s="4" t="inlineStr">
        <is>
          <t>2026-03-26</t>
        </is>
      </c>
      <c r="L15" s="4" t="n"/>
      <c r="M15" t="inlineStr">
        <is>
          <t>Not Yet</t>
        </is>
      </c>
      <c r="N15" s="4" t="n"/>
      <c r="O15" t="inlineStr">
        <is>
          <t>NCBFAA member. 3rd degree.</t>
        </is>
      </c>
    </row>
    <row r="16">
      <c r="A16" t="inlineStr">
        <is>
          <t>Michael Bellezza</t>
        </is>
      </c>
      <c r="B16" t="inlineStr">
        <is>
          <t>VP</t>
        </is>
      </c>
      <c r="C16" t="inlineStr">
        <is>
          <t>Expeditors/Tradewin</t>
        </is>
      </c>
      <c r="E16" t="inlineStr">
        <is>
          <t>Rockport, MA</t>
        </is>
      </c>
      <c r="H16" t="inlineStr">
        <is>
          <t>Tier 2</t>
        </is>
      </c>
      <c r="I16" t="inlineStr">
        <is>
          <t>Request Sent</t>
        </is>
      </c>
      <c r="J16" t="inlineStr">
        <is>
          <t>NCBFAA Template</t>
        </is>
      </c>
      <c r="K16" s="4" t="inlineStr">
        <is>
          <t>2026-03-26</t>
        </is>
      </c>
      <c r="L16" s="4" t="n"/>
      <c r="M16" t="inlineStr">
        <is>
          <t>Not Yet</t>
        </is>
      </c>
      <c r="N16" s="4" t="n"/>
      <c r="O16" t="inlineStr">
        <is>
          <t>NCBFAA member. 3rd degree.</t>
        </is>
      </c>
    </row>
    <row r="17">
      <c r="A17" t="inlineStr">
        <is>
          <t>Luisa Nakamura</t>
        </is>
      </c>
      <c r="B17" t="inlineStr">
        <is>
          <t>Import Manager</t>
        </is>
      </c>
      <c r="C17" t="inlineStr">
        <is>
          <t>Air-Sea Forwarders</t>
        </is>
      </c>
      <c r="E17" t="inlineStr">
        <is>
          <t>Inglewood, CA</t>
        </is>
      </c>
      <c r="F17" t="inlineStr">
        <is>
          <t>Port Adjacent</t>
        </is>
      </c>
      <c r="H17" t="inlineStr">
        <is>
          <t>Tier 2</t>
        </is>
      </c>
      <c r="I17" t="inlineStr">
        <is>
          <t>Request Sent</t>
        </is>
      </c>
      <c r="J17" t="inlineStr">
        <is>
          <t>NCBFAA Template</t>
        </is>
      </c>
      <c r="K17" s="4" t="inlineStr">
        <is>
          <t>2026-03-26</t>
        </is>
      </c>
      <c r="L17" s="4" t="n"/>
      <c r="M17" t="inlineStr">
        <is>
          <t>Not Yet</t>
        </is>
      </c>
      <c r="N17" s="4" t="n"/>
      <c r="O17" t="inlineStr">
        <is>
          <t>NCBFAA member. 3rd degree.</t>
        </is>
      </c>
    </row>
    <row r="18">
      <c r="A18" t="inlineStr">
        <is>
          <t>Pam Brown</t>
        </is>
      </c>
      <c r="B18" t="inlineStr">
        <is>
          <t>VP</t>
        </is>
      </c>
      <c r="C18" t="inlineStr">
        <is>
          <t>Future Forwarding US</t>
        </is>
      </c>
      <c r="E18" t="inlineStr">
        <is>
          <t>Atlanta, GA</t>
        </is>
      </c>
      <c r="H18" t="inlineStr">
        <is>
          <t>Tier 2</t>
        </is>
      </c>
      <c r="I18" t="inlineStr">
        <is>
          <t>Request Sent</t>
        </is>
      </c>
      <c r="J18" t="inlineStr">
        <is>
          <t>NCBFAA Template</t>
        </is>
      </c>
      <c r="K18" s="4" t="inlineStr">
        <is>
          <t>2026-03-26</t>
        </is>
      </c>
      <c r="L18" s="4" t="n"/>
      <c r="M18" t="inlineStr">
        <is>
          <t>Not Yet</t>
        </is>
      </c>
      <c r="N18" s="4" t="n"/>
      <c r="O18" t="inlineStr">
        <is>
          <t>NCBFAA member (Pamela). 3rd degree.</t>
        </is>
      </c>
    </row>
    <row r="19">
      <c r="A19" t="inlineStr">
        <is>
          <t>Eric Pozarycki</t>
        </is>
      </c>
      <c r="B19" t="inlineStr">
        <is>
          <t>Director Import Compliance</t>
        </is>
      </c>
      <c r="C19" t="inlineStr">
        <is>
          <t>DHL Express</t>
        </is>
      </c>
      <c r="E19" t="inlineStr">
        <is>
          <t>NYC Metro</t>
        </is>
      </c>
      <c r="F19" t="inlineStr">
        <is>
          <t>Port City</t>
        </is>
      </c>
      <c r="H19" t="inlineStr">
        <is>
          <t>Tier 1</t>
        </is>
      </c>
      <c r="I19" t="inlineStr">
        <is>
          <t>Request Sent</t>
        </is>
      </c>
      <c r="J19" t="inlineStr">
        <is>
          <t>NCBFAA Template</t>
        </is>
      </c>
      <c r="K19" s="4" t="inlineStr">
        <is>
          <t>2026-03-26</t>
        </is>
      </c>
      <c r="L19" s="4" t="n"/>
      <c r="M19" t="inlineStr">
        <is>
          <t>Not Yet</t>
        </is>
      </c>
      <c r="N19" s="4" t="n"/>
      <c r="O19" t="inlineStr">
        <is>
          <t>NCBFAA member. 3rd degree. DHL Express.</t>
        </is>
      </c>
    </row>
    <row r="20">
      <c r="A20" t="inlineStr">
        <is>
          <t>Bernadette Métellus, LCB</t>
        </is>
      </c>
      <c r="B20" t="inlineStr">
        <is>
          <t>VP Head of NORAM Global Customs</t>
        </is>
      </c>
      <c r="C20" t="inlineStr">
        <is>
          <t>DSV</t>
        </is>
      </c>
      <c r="E20" t="inlineStr">
        <is>
          <t>NYC Metro</t>
        </is>
      </c>
      <c r="F20" t="inlineStr">
        <is>
          <t>Port City</t>
        </is>
      </c>
      <c r="H20" t="inlineStr">
        <is>
          <t>Tier 1</t>
        </is>
      </c>
      <c r="I20" t="inlineStr">
        <is>
          <t>Request Sent</t>
        </is>
      </c>
      <c r="J20" t="inlineStr">
        <is>
          <t>NCBFAA Template</t>
        </is>
      </c>
      <c r="K20" s="4" t="inlineStr">
        <is>
          <t>2026-03-26</t>
        </is>
      </c>
      <c r="L20" s="4" t="n"/>
      <c r="M20" t="inlineStr">
        <is>
          <t>Not Yet</t>
        </is>
      </c>
      <c r="N20" s="4" t="n"/>
      <c r="O20" t="inlineStr">
        <is>
          <t>NCBFAA member. 3rd degree. DSV = major broker.</t>
        </is>
      </c>
    </row>
    <row r="21">
      <c r="A21" t="inlineStr">
        <is>
          <t>Madeleine Veigel</t>
        </is>
      </c>
      <c r="B21" t="inlineStr">
        <is>
          <t>VP Customs The Americas</t>
        </is>
      </c>
      <c r="C21" t="inlineStr">
        <is>
          <t>Expeditors</t>
        </is>
      </c>
      <c r="E21" t="inlineStr">
        <is>
          <t>Seattle, WA</t>
        </is>
      </c>
      <c r="F21" t="inlineStr">
        <is>
          <t>Port City</t>
        </is>
      </c>
      <c r="H21" t="inlineStr">
        <is>
          <t>Tier 1</t>
        </is>
      </c>
      <c r="I21" t="inlineStr">
        <is>
          <t>Request Sent</t>
        </is>
      </c>
      <c r="J21" t="inlineStr">
        <is>
          <t>NCBFAA Template</t>
        </is>
      </c>
      <c r="K21" s="4" t="inlineStr">
        <is>
          <t>2026-03-26</t>
        </is>
      </c>
      <c r="L21" s="4" t="n"/>
      <c r="M21" t="inlineStr">
        <is>
          <t>Not Yet</t>
        </is>
      </c>
      <c r="N21" s="4" t="n"/>
      <c r="O21" t="inlineStr">
        <is>
          <t>NCBFAA member. 3rd degree. Expeditors = major broker.</t>
        </is>
      </c>
    </row>
    <row r="22">
      <c r="A22" t="inlineStr">
        <is>
          <t>Brett Claydon, LCB</t>
        </is>
      </c>
      <c r="B22" t="inlineStr">
        <is>
          <t>Licensed Customs Broker</t>
        </is>
      </c>
      <c r="C22" t="inlineStr">
        <is>
          <t>SPEED Global Services</t>
        </is>
      </c>
      <c r="E22" t="inlineStr">
        <is>
          <t>Buffalo-Niagara</t>
        </is>
      </c>
      <c r="F22" t="inlineStr">
        <is>
          <t>Port Adjacent</t>
        </is>
      </c>
      <c r="H22" t="inlineStr">
        <is>
          <t>Tier 2</t>
        </is>
      </c>
      <c r="I22" t="inlineStr">
        <is>
          <t>Request Sent</t>
        </is>
      </c>
      <c r="J22" t="inlineStr">
        <is>
          <t>NCBFAA Template</t>
        </is>
      </c>
      <c r="K22" s="4" t="inlineStr">
        <is>
          <t>2026-03-26</t>
        </is>
      </c>
      <c r="L22" s="4" t="n"/>
      <c r="M22" t="inlineStr">
        <is>
          <t>Not Yet</t>
        </is>
      </c>
      <c r="N22" s="4" t="n"/>
      <c r="O22" t="inlineStr">
        <is>
          <t>NCBFAA member. 3rd degree.</t>
        </is>
      </c>
    </row>
    <row r="23">
      <c r="A23" t="inlineStr">
        <is>
          <t>Grace Xu</t>
        </is>
      </c>
      <c r="B23" t="inlineStr">
        <is>
          <t>VP International Division</t>
        </is>
      </c>
      <c r="C23" t="inlineStr">
        <is>
          <t>ACF Global Logistics</t>
        </is>
      </c>
      <c r="H23" t="inlineStr">
        <is>
          <t>Tier 2</t>
        </is>
      </c>
      <c r="I23" t="inlineStr">
        <is>
          <t>Request Sent</t>
        </is>
      </c>
      <c r="J23" t="inlineStr">
        <is>
          <t>NCBFAA Template</t>
        </is>
      </c>
      <c r="K23" s="4" t="inlineStr">
        <is>
          <t>2026-03-26</t>
        </is>
      </c>
      <c r="L23" s="4" t="n"/>
      <c r="M23" t="inlineStr">
        <is>
          <t>Not Yet</t>
        </is>
      </c>
      <c r="N23" s="4" t="n"/>
      <c r="O23" t="inlineStr">
        <is>
          <t>NCBFAA member. 3rd degree.</t>
        </is>
      </c>
    </row>
    <row r="24">
      <c r="A24" t="inlineStr">
        <is>
          <t>George Booth</t>
        </is>
      </c>
      <c r="B24" t="inlineStr">
        <is>
          <t>CEO</t>
        </is>
      </c>
      <c r="C24" t="inlineStr">
        <is>
          <t>SecureGlobal Logistics</t>
        </is>
      </c>
      <c r="H24" t="inlineStr">
        <is>
          <t>Tier 1</t>
        </is>
      </c>
      <c r="I24" t="inlineStr">
        <is>
          <t>Request Sent</t>
        </is>
      </c>
      <c r="J24" t="inlineStr">
        <is>
          <t>NCBFAA Template</t>
        </is>
      </c>
      <c r="K24" s="4" t="inlineStr">
        <is>
          <t>2026-03-26</t>
        </is>
      </c>
      <c r="L24" s="4" t="n"/>
      <c r="M24" t="inlineStr">
        <is>
          <t>Not Yet</t>
        </is>
      </c>
      <c r="N24" s="4" t="n"/>
      <c r="O24" t="inlineStr">
        <is>
          <t>NCBFAA member. CEO = decision maker. 3rd degree.</t>
        </is>
      </c>
    </row>
    <row r="25">
      <c r="A25" t="inlineStr">
        <is>
          <t>Carlos Valdes</t>
        </is>
      </c>
      <c r="B25" t="inlineStr">
        <is>
          <t>Executive Vice President</t>
        </is>
      </c>
      <c r="C25" t="inlineStr">
        <is>
          <t>C-Air Brokers</t>
        </is>
      </c>
      <c r="H25" t="inlineStr">
        <is>
          <t>Tier 2</t>
        </is>
      </c>
      <c r="I25" t="inlineStr">
        <is>
          <t>Request Sent</t>
        </is>
      </c>
      <c r="J25" t="inlineStr">
        <is>
          <t>NCBFAA Template</t>
        </is>
      </c>
      <c r="K25" s="4" t="inlineStr">
        <is>
          <t>2026-03-26</t>
        </is>
      </c>
      <c r="L25" s="4" t="n"/>
      <c r="M25" t="inlineStr">
        <is>
          <t>Not Yet</t>
        </is>
      </c>
      <c r="N25" s="4" t="n"/>
      <c r="O25" t="inlineStr">
        <is>
          <t>NCBFAA member. 3rd degree.</t>
        </is>
      </c>
    </row>
    <row r="26">
      <c r="A26" t="inlineStr">
        <is>
          <t>Tracey Abram-Anthony</t>
        </is>
      </c>
      <c r="B26" t="inlineStr">
        <is>
          <t>VP &amp; Chief Compliance Officer</t>
        </is>
      </c>
      <c r="C26" t="inlineStr">
        <is>
          <t>Crane Worldwide Logistics</t>
        </is>
      </c>
      <c r="H26" t="inlineStr">
        <is>
          <t>Tier 2</t>
        </is>
      </c>
      <c r="I26" t="inlineStr">
        <is>
          <t>Request Sent</t>
        </is>
      </c>
      <c r="J26" t="inlineStr">
        <is>
          <t>NCBFAA Template</t>
        </is>
      </c>
      <c r="K26" s="4" t="inlineStr">
        <is>
          <t>2026-03-26</t>
        </is>
      </c>
      <c r="L26" s="4" t="n"/>
      <c r="M26" t="inlineStr">
        <is>
          <t>Not Yet</t>
        </is>
      </c>
      <c r="N26" s="4" t="n"/>
      <c r="O26" t="inlineStr">
        <is>
          <t>NCBFAA member (listed as Tracey Anthony). 3rd degree.</t>
        </is>
      </c>
    </row>
    <row r="27">
      <c r="K27" s="4" t="n"/>
      <c r="L27" s="4" t="n"/>
      <c r="N27" s="4" t="n"/>
    </row>
    <row r="28">
      <c r="K28" s="4" t="n"/>
      <c r="L28" s="4" t="n"/>
      <c r="N28" s="4" t="n"/>
    </row>
    <row r="29">
      <c r="K29" s="4" t="n"/>
      <c r="L29" s="4" t="n"/>
      <c r="N29" s="4" t="n"/>
    </row>
    <row r="30">
      <c r="K30" s="4" t="n"/>
      <c r="L30" s="4" t="n"/>
      <c r="N30" s="4" t="n"/>
    </row>
    <row r="31">
      <c r="K31" s="4" t="n"/>
      <c r="L31" s="4" t="n"/>
      <c r="N31" s="4" t="n"/>
    </row>
    <row r="32">
      <c r="K32" s="4" t="n"/>
      <c r="L32" s="4" t="n"/>
      <c r="N32" s="4" t="n"/>
    </row>
    <row r="33">
      <c r="K33" s="4" t="n"/>
      <c r="L33" s="4" t="n"/>
      <c r="N33" s="4" t="n"/>
    </row>
    <row r="34">
      <c r="K34" s="4" t="n"/>
      <c r="L34" s="4" t="n"/>
      <c r="N34" s="4" t="n"/>
    </row>
    <row r="35">
      <c r="K35" s="4" t="n"/>
      <c r="L35" s="4" t="n"/>
      <c r="N35" s="4" t="n"/>
    </row>
    <row r="36">
      <c r="K36" s="4" t="n"/>
      <c r="L36" s="4" t="n"/>
      <c r="N36" s="4" t="n"/>
    </row>
    <row r="37">
      <c r="K37" s="4" t="n"/>
      <c r="L37" s="4" t="n"/>
      <c r="N37" s="4" t="n"/>
    </row>
    <row r="38">
      <c r="K38" s="4" t="n"/>
      <c r="L38" s="4" t="n"/>
      <c r="N38" s="4" t="n"/>
    </row>
    <row r="39">
      <c r="K39" s="4" t="n"/>
      <c r="L39" s="4" t="n"/>
      <c r="N39" s="4" t="n"/>
    </row>
    <row r="40">
      <c r="K40" s="4" t="n"/>
      <c r="L40" s="4" t="n"/>
      <c r="N40" s="4" t="n"/>
    </row>
    <row r="41">
      <c r="K41" s="4" t="n"/>
      <c r="L41" s="4" t="n"/>
      <c r="N41" s="4" t="n"/>
    </row>
    <row r="42">
      <c r="K42" s="4" t="n"/>
      <c r="L42" s="4" t="n"/>
      <c r="N42" s="4" t="n"/>
    </row>
    <row r="43">
      <c r="K43" s="4" t="n"/>
      <c r="L43" s="4" t="n"/>
      <c r="N43" s="4" t="n"/>
    </row>
    <row r="44">
      <c r="K44" s="4" t="n"/>
      <c r="L44" s="4" t="n"/>
      <c r="N44" s="4" t="n"/>
    </row>
    <row r="45">
      <c r="K45" s="4" t="n"/>
      <c r="L45" s="4" t="n"/>
      <c r="N45" s="4" t="n"/>
    </row>
    <row r="46">
      <c r="K46" s="4" t="n"/>
      <c r="L46" s="4" t="n"/>
      <c r="N46" s="4" t="n"/>
    </row>
    <row r="47">
      <c r="K47" s="4" t="n"/>
      <c r="L47" s="4" t="n"/>
      <c r="N47" s="4" t="n"/>
    </row>
    <row r="48">
      <c r="K48" s="4" t="n"/>
      <c r="L48" s="4" t="n"/>
      <c r="N48" s="4" t="n"/>
    </row>
    <row r="49">
      <c r="K49" s="4" t="n"/>
      <c r="L49" s="4" t="n"/>
      <c r="N49" s="4" t="n"/>
    </row>
    <row r="50">
      <c r="K50" s="4" t="n"/>
      <c r="L50" s="4" t="n"/>
      <c r="N50" s="4" t="n"/>
    </row>
    <row r="51">
      <c r="K51" s="4" t="n"/>
      <c r="L51" s="4" t="n"/>
      <c r="N51" s="4" t="n"/>
    </row>
    <row r="52">
      <c r="K52" s="4" t="n"/>
      <c r="L52" s="4" t="n"/>
      <c r="N52" s="4" t="n"/>
    </row>
    <row r="53">
      <c r="K53" s="4" t="n"/>
      <c r="L53" s="4" t="n"/>
      <c r="N53" s="4" t="n"/>
    </row>
    <row r="54">
      <c r="K54" s="4" t="n"/>
      <c r="L54" s="4" t="n"/>
      <c r="N54" s="4" t="n"/>
    </row>
    <row r="55">
      <c r="K55" s="4" t="n"/>
      <c r="L55" s="4" t="n"/>
      <c r="N55" s="4" t="n"/>
    </row>
    <row r="56">
      <c r="K56" s="4" t="n"/>
      <c r="L56" s="4" t="n"/>
      <c r="N56" s="4" t="n"/>
    </row>
    <row r="57">
      <c r="K57" s="4" t="n"/>
      <c r="L57" s="4" t="n"/>
      <c r="N57" s="4" t="n"/>
    </row>
    <row r="58">
      <c r="K58" s="4" t="n"/>
      <c r="L58" s="4" t="n"/>
      <c r="N58" s="4" t="n"/>
    </row>
    <row r="59">
      <c r="K59" s="4" t="n"/>
      <c r="L59" s="4" t="n"/>
      <c r="N59" s="4" t="n"/>
    </row>
    <row r="60">
      <c r="K60" s="4" t="n"/>
      <c r="L60" s="4" t="n"/>
      <c r="N60" s="4" t="n"/>
    </row>
    <row r="61">
      <c r="K61" s="4" t="n"/>
      <c r="L61" s="4" t="n"/>
      <c r="N61" s="4" t="n"/>
    </row>
    <row r="62">
      <c r="K62" s="4" t="n"/>
      <c r="L62" s="4" t="n"/>
      <c r="N62" s="4" t="n"/>
    </row>
    <row r="63">
      <c r="K63" s="4" t="n"/>
      <c r="L63" s="4" t="n"/>
      <c r="N63" s="4" t="n"/>
    </row>
    <row r="64">
      <c r="K64" s="4" t="n"/>
      <c r="L64" s="4" t="n"/>
      <c r="N64" s="4" t="n"/>
    </row>
    <row r="65">
      <c r="K65" s="4" t="n"/>
      <c r="L65" s="4" t="n"/>
      <c r="N65" s="4" t="n"/>
    </row>
    <row r="66">
      <c r="K66" s="4" t="n"/>
      <c r="L66" s="4" t="n"/>
      <c r="N66" s="4" t="n"/>
    </row>
    <row r="67">
      <c r="K67" s="4" t="n"/>
      <c r="L67" s="4" t="n"/>
      <c r="N67" s="4" t="n"/>
    </row>
    <row r="68">
      <c r="K68" s="4" t="n"/>
      <c r="L68" s="4" t="n"/>
      <c r="N68" s="4" t="n"/>
    </row>
    <row r="69">
      <c r="K69" s="4" t="n"/>
      <c r="L69" s="4" t="n"/>
      <c r="N69" s="4" t="n"/>
    </row>
    <row r="70">
      <c r="K70" s="4" t="n"/>
      <c r="L70" s="4" t="n"/>
      <c r="N70" s="4" t="n"/>
    </row>
    <row r="71">
      <c r="K71" s="4" t="n"/>
      <c r="L71" s="4" t="n"/>
      <c r="N71" s="4" t="n"/>
    </row>
    <row r="72">
      <c r="K72" s="4" t="n"/>
      <c r="L72" s="4" t="n"/>
      <c r="N72" s="4" t="n"/>
    </row>
    <row r="73">
      <c r="K73" s="4" t="n"/>
      <c r="L73" s="4" t="n"/>
      <c r="N73" s="4" t="n"/>
    </row>
    <row r="74">
      <c r="K74" s="4" t="n"/>
      <c r="L74" s="4" t="n"/>
      <c r="N74" s="4" t="n"/>
    </row>
    <row r="75">
      <c r="K75" s="4" t="n"/>
      <c r="L75" s="4" t="n"/>
      <c r="N75" s="4" t="n"/>
    </row>
    <row r="76">
      <c r="K76" s="4" t="n"/>
      <c r="L76" s="4" t="n"/>
      <c r="N76" s="4" t="n"/>
    </row>
    <row r="77">
      <c r="K77" s="4" t="n"/>
      <c r="L77" s="4" t="n"/>
      <c r="N77" s="4" t="n"/>
    </row>
    <row r="78">
      <c r="K78" s="4" t="n"/>
      <c r="L78" s="4" t="n"/>
      <c r="N78" s="4" t="n"/>
    </row>
    <row r="79">
      <c r="K79" s="4" t="n"/>
      <c r="L79" s="4" t="n"/>
      <c r="N79" s="4" t="n"/>
    </row>
    <row r="80">
      <c r="K80" s="4" t="n"/>
      <c r="L80" s="4" t="n"/>
      <c r="N80" s="4" t="n"/>
    </row>
    <row r="81">
      <c r="K81" s="4" t="n"/>
      <c r="L81" s="4" t="n"/>
      <c r="N81" s="4" t="n"/>
    </row>
    <row r="82">
      <c r="K82" s="4" t="n"/>
      <c r="L82" s="4" t="n"/>
      <c r="N82" s="4" t="n"/>
    </row>
    <row r="83">
      <c r="K83" s="4" t="n"/>
      <c r="L83" s="4" t="n"/>
      <c r="N83" s="4" t="n"/>
    </row>
    <row r="84">
      <c r="K84" s="4" t="n"/>
      <c r="L84" s="4" t="n"/>
      <c r="N84" s="4" t="n"/>
    </row>
    <row r="85">
      <c r="K85" s="4" t="n"/>
      <c r="L85" s="4" t="n"/>
      <c r="N85" s="4" t="n"/>
    </row>
    <row r="86">
      <c r="K86" s="4" t="n"/>
      <c r="L86" s="4" t="n"/>
      <c r="N86" s="4" t="n"/>
    </row>
    <row r="87">
      <c r="K87" s="4" t="n"/>
      <c r="L87" s="4" t="n"/>
      <c r="N87" s="4" t="n"/>
    </row>
    <row r="88">
      <c r="K88" s="4" t="n"/>
      <c r="L88" s="4" t="n"/>
      <c r="N88" s="4" t="n"/>
    </row>
    <row r="89">
      <c r="K89" s="4" t="n"/>
      <c r="L89" s="4" t="n"/>
      <c r="N89" s="4" t="n"/>
    </row>
    <row r="90">
      <c r="K90" s="4" t="n"/>
      <c r="L90" s="4" t="n"/>
      <c r="N90" s="4" t="n"/>
    </row>
    <row r="91">
      <c r="K91" s="4" t="n"/>
      <c r="L91" s="4" t="n"/>
      <c r="N91" s="4" t="n"/>
    </row>
    <row r="92">
      <c r="K92" s="4" t="n"/>
      <c r="L92" s="4" t="n"/>
      <c r="N92" s="4" t="n"/>
    </row>
    <row r="93">
      <c r="K93" s="4" t="n"/>
      <c r="L93" s="4" t="n"/>
      <c r="N93" s="4" t="n"/>
    </row>
    <row r="94">
      <c r="K94" s="4" t="n"/>
      <c r="L94" s="4" t="n"/>
      <c r="N94" s="4" t="n"/>
    </row>
    <row r="95">
      <c r="K95" s="4" t="n"/>
      <c r="L95" s="4" t="n"/>
      <c r="N95" s="4" t="n"/>
    </row>
    <row r="96">
      <c r="K96" s="4" t="n"/>
      <c r="L96" s="4" t="n"/>
      <c r="N96" s="4" t="n"/>
    </row>
    <row r="97">
      <c r="K97" s="4" t="n"/>
      <c r="L97" s="4" t="n"/>
      <c r="N97" s="4" t="n"/>
    </row>
    <row r="98">
      <c r="K98" s="4" t="n"/>
      <c r="L98" s="4" t="n"/>
      <c r="N98" s="4" t="n"/>
    </row>
    <row r="99">
      <c r="K99" s="4" t="n"/>
      <c r="L99" s="4" t="n"/>
      <c r="N99" s="4" t="n"/>
    </row>
    <row r="100">
      <c r="K100" s="4" t="n"/>
      <c r="L100" s="4" t="n"/>
      <c r="N100" s="4" t="n"/>
    </row>
    <row r="101">
      <c r="K101" s="4" t="n"/>
      <c r="L101" s="4" t="n"/>
      <c r="N101" s="4" t="n"/>
    </row>
    <row r="102">
      <c r="K102" s="4" t="n"/>
      <c r="L102" s="4" t="n"/>
      <c r="N102" s="4" t="n"/>
    </row>
    <row r="103">
      <c r="K103" s="4" t="n"/>
      <c r="L103" s="4" t="n"/>
      <c r="N103" s="4" t="n"/>
    </row>
    <row r="104">
      <c r="K104" s="4" t="n"/>
      <c r="L104" s="4" t="n"/>
      <c r="N104" s="4" t="n"/>
    </row>
    <row r="105">
      <c r="K105" s="4" t="n"/>
      <c r="L105" s="4" t="n"/>
      <c r="N105" s="4" t="n"/>
    </row>
    <row r="106">
      <c r="K106" s="4" t="n"/>
      <c r="L106" s="4" t="n"/>
      <c r="N106" s="4" t="n"/>
    </row>
    <row r="107">
      <c r="K107" s="4" t="n"/>
      <c r="L107" s="4" t="n"/>
      <c r="N107" s="4" t="n"/>
    </row>
    <row r="108">
      <c r="K108" s="4" t="n"/>
      <c r="L108" s="4" t="n"/>
      <c r="N108" s="4" t="n"/>
    </row>
    <row r="109">
      <c r="K109" s="4" t="n"/>
      <c r="L109" s="4" t="n"/>
      <c r="N109" s="4" t="n"/>
    </row>
    <row r="110">
      <c r="K110" s="4" t="n"/>
      <c r="L110" s="4" t="n"/>
      <c r="N110" s="4" t="n"/>
    </row>
    <row r="111">
      <c r="K111" s="4" t="n"/>
      <c r="L111" s="4" t="n"/>
      <c r="N111" s="4" t="n"/>
    </row>
    <row r="112">
      <c r="K112" s="4" t="n"/>
      <c r="L112" s="4" t="n"/>
      <c r="N112" s="4" t="n"/>
    </row>
    <row r="113">
      <c r="K113" s="4" t="n"/>
      <c r="L113" s="4" t="n"/>
      <c r="N113" s="4" t="n"/>
    </row>
    <row r="114">
      <c r="K114" s="4" t="n"/>
      <c r="L114" s="4" t="n"/>
      <c r="N114" s="4" t="n"/>
    </row>
    <row r="115">
      <c r="K115" s="4" t="n"/>
      <c r="L115" s="4" t="n"/>
      <c r="N115" s="4" t="n"/>
    </row>
    <row r="116">
      <c r="K116" s="4" t="n"/>
      <c r="L116" s="4" t="n"/>
      <c r="N116" s="4" t="n"/>
    </row>
    <row r="117">
      <c r="K117" s="4" t="n"/>
      <c r="L117" s="4" t="n"/>
      <c r="N117" s="4" t="n"/>
    </row>
    <row r="118">
      <c r="K118" s="4" t="n"/>
      <c r="L118" s="4" t="n"/>
      <c r="N118" s="4" t="n"/>
    </row>
    <row r="119">
      <c r="K119" s="4" t="n"/>
      <c r="L119" s="4" t="n"/>
      <c r="N119" s="4" t="n"/>
    </row>
    <row r="120">
      <c r="K120" s="4" t="n"/>
      <c r="L120" s="4" t="n"/>
      <c r="N120" s="4" t="n"/>
    </row>
    <row r="121">
      <c r="K121" s="4" t="n"/>
      <c r="L121" s="4" t="n"/>
      <c r="N121" s="4" t="n"/>
    </row>
    <row r="122">
      <c r="K122" s="4" t="n"/>
      <c r="L122" s="4" t="n"/>
      <c r="N122" s="4" t="n"/>
    </row>
    <row r="123">
      <c r="K123" s="4" t="n"/>
      <c r="L123" s="4" t="n"/>
      <c r="N123" s="4" t="n"/>
    </row>
    <row r="124">
      <c r="K124" s="4" t="n"/>
      <c r="L124" s="4" t="n"/>
      <c r="N124" s="4" t="n"/>
    </row>
    <row r="125">
      <c r="K125" s="4" t="n"/>
      <c r="L125" s="4" t="n"/>
      <c r="N125" s="4" t="n"/>
    </row>
    <row r="126">
      <c r="K126" s="4" t="n"/>
      <c r="L126" s="4" t="n"/>
      <c r="N126" s="4" t="n"/>
    </row>
    <row r="127">
      <c r="K127" s="4" t="n"/>
      <c r="L127" s="4" t="n"/>
      <c r="N127" s="4" t="n"/>
    </row>
    <row r="128">
      <c r="K128" s="4" t="n"/>
      <c r="L128" s="4" t="n"/>
      <c r="N128" s="4" t="n"/>
    </row>
    <row r="129">
      <c r="K129" s="4" t="n"/>
      <c r="L129" s="4" t="n"/>
      <c r="N129" s="4" t="n"/>
    </row>
    <row r="130">
      <c r="K130" s="4" t="n"/>
      <c r="L130" s="4" t="n"/>
      <c r="N130" s="4" t="n"/>
    </row>
    <row r="131">
      <c r="K131" s="4" t="n"/>
      <c r="L131" s="4" t="n"/>
      <c r="N131" s="4" t="n"/>
    </row>
    <row r="132">
      <c r="K132" s="4" t="n"/>
      <c r="L132" s="4" t="n"/>
      <c r="N132" s="4" t="n"/>
    </row>
    <row r="133">
      <c r="K133" s="4" t="n"/>
      <c r="L133" s="4" t="n"/>
      <c r="N133" s="4" t="n"/>
    </row>
    <row r="134">
      <c r="K134" s="4" t="n"/>
      <c r="L134" s="4" t="n"/>
      <c r="N134" s="4" t="n"/>
    </row>
    <row r="135">
      <c r="K135" s="4" t="n"/>
      <c r="L135" s="4" t="n"/>
      <c r="N135" s="4" t="n"/>
    </row>
    <row r="136">
      <c r="K136" s="4" t="n"/>
      <c r="L136" s="4" t="n"/>
      <c r="N136" s="4" t="n"/>
    </row>
    <row r="137">
      <c r="K137" s="4" t="n"/>
      <c r="L137" s="4" t="n"/>
      <c r="N137" s="4" t="n"/>
    </row>
    <row r="138">
      <c r="K138" s="4" t="n"/>
      <c r="L138" s="4" t="n"/>
      <c r="N138" s="4" t="n"/>
    </row>
    <row r="139">
      <c r="K139" s="4" t="n"/>
      <c r="L139" s="4" t="n"/>
      <c r="N139" s="4" t="n"/>
    </row>
    <row r="140">
      <c r="K140" s="4" t="n"/>
      <c r="L140" s="4" t="n"/>
      <c r="N140" s="4" t="n"/>
    </row>
    <row r="141">
      <c r="K141" s="4" t="n"/>
      <c r="L141" s="4" t="n"/>
      <c r="N141" s="4" t="n"/>
    </row>
    <row r="142">
      <c r="K142" s="4" t="n"/>
      <c r="L142" s="4" t="n"/>
      <c r="N142" s="4" t="n"/>
    </row>
    <row r="143">
      <c r="K143" s="4" t="n"/>
      <c r="L143" s="4" t="n"/>
      <c r="N143" s="4" t="n"/>
    </row>
    <row r="144">
      <c r="K144" s="4" t="n"/>
      <c r="L144" s="4" t="n"/>
      <c r="N144" s="4" t="n"/>
    </row>
    <row r="145">
      <c r="K145" s="4" t="n"/>
      <c r="L145" s="4" t="n"/>
      <c r="N145" s="4" t="n"/>
    </row>
    <row r="146">
      <c r="K146" s="4" t="n"/>
      <c r="L146" s="4" t="n"/>
      <c r="N146" s="4" t="n"/>
    </row>
    <row r="147">
      <c r="K147" s="4" t="n"/>
      <c r="L147" s="4" t="n"/>
      <c r="N147" s="4" t="n"/>
    </row>
    <row r="148">
      <c r="K148" s="4" t="n"/>
      <c r="L148" s="4" t="n"/>
      <c r="N148" s="4" t="n"/>
    </row>
    <row r="149">
      <c r="K149" s="4" t="n"/>
      <c r="L149" s="4" t="n"/>
      <c r="N149" s="4" t="n"/>
    </row>
    <row r="150">
      <c r="K150" s="4" t="n"/>
      <c r="L150" s="4" t="n"/>
      <c r="N150" s="4" t="n"/>
    </row>
    <row r="151">
      <c r="K151" s="4" t="n"/>
      <c r="L151" s="4" t="n"/>
      <c r="N151" s="4" t="n"/>
    </row>
    <row r="152">
      <c r="K152" s="4" t="n"/>
      <c r="L152" s="4" t="n"/>
      <c r="N152" s="4" t="n"/>
    </row>
    <row r="153">
      <c r="K153" s="4" t="n"/>
      <c r="L153" s="4" t="n"/>
      <c r="N153" s="4" t="n"/>
    </row>
    <row r="154">
      <c r="K154" s="4" t="n"/>
      <c r="L154" s="4" t="n"/>
      <c r="N154" s="4" t="n"/>
    </row>
    <row r="155">
      <c r="K155" s="4" t="n"/>
      <c r="L155" s="4" t="n"/>
      <c r="N155" s="4" t="n"/>
    </row>
    <row r="156">
      <c r="K156" s="4" t="n"/>
      <c r="L156" s="4" t="n"/>
      <c r="N156" s="4" t="n"/>
    </row>
    <row r="157">
      <c r="K157" s="4" t="n"/>
      <c r="L157" s="4" t="n"/>
      <c r="N157" s="4" t="n"/>
    </row>
    <row r="158">
      <c r="K158" s="4" t="n"/>
      <c r="L158" s="4" t="n"/>
      <c r="N158" s="4" t="n"/>
    </row>
    <row r="159">
      <c r="K159" s="4" t="n"/>
      <c r="L159" s="4" t="n"/>
      <c r="N159" s="4" t="n"/>
    </row>
    <row r="160">
      <c r="K160" s="4" t="n"/>
      <c r="L160" s="4" t="n"/>
      <c r="N160" s="4" t="n"/>
    </row>
    <row r="161">
      <c r="K161" s="4" t="n"/>
      <c r="L161" s="4" t="n"/>
      <c r="N161" s="4" t="n"/>
    </row>
    <row r="162">
      <c r="K162" s="4" t="n"/>
      <c r="L162" s="4" t="n"/>
      <c r="N162" s="4" t="n"/>
    </row>
    <row r="163">
      <c r="K163" s="4" t="n"/>
      <c r="L163" s="4" t="n"/>
      <c r="N163" s="4" t="n"/>
    </row>
    <row r="164">
      <c r="K164" s="4" t="n"/>
      <c r="L164" s="4" t="n"/>
      <c r="N164" s="4" t="n"/>
    </row>
    <row r="165">
      <c r="K165" s="4" t="n"/>
      <c r="L165" s="4" t="n"/>
      <c r="N165" s="4" t="n"/>
    </row>
    <row r="166">
      <c r="K166" s="4" t="n"/>
      <c r="L166" s="4" t="n"/>
      <c r="N166" s="4" t="n"/>
    </row>
    <row r="167">
      <c r="K167" s="4" t="n"/>
      <c r="L167" s="4" t="n"/>
      <c r="N167" s="4" t="n"/>
    </row>
    <row r="168">
      <c r="K168" s="4" t="n"/>
      <c r="L168" s="4" t="n"/>
      <c r="N168" s="4" t="n"/>
    </row>
    <row r="169">
      <c r="K169" s="4" t="n"/>
      <c r="L169" s="4" t="n"/>
      <c r="N169" s="4" t="n"/>
    </row>
    <row r="170">
      <c r="K170" s="4" t="n"/>
      <c r="L170" s="4" t="n"/>
      <c r="N170" s="4" t="n"/>
    </row>
    <row r="171">
      <c r="K171" s="4" t="n"/>
      <c r="L171" s="4" t="n"/>
      <c r="N171" s="4" t="n"/>
    </row>
    <row r="172">
      <c r="K172" s="4" t="n"/>
      <c r="L172" s="4" t="n"/>
      <c r="N172" s="4" t="n"/>
    </row>
    <row r="173">
      <c r="K173" s="4" t="n"/>
      <c r="L173" s="4" t="n"/>
      <c r="N173" s="4" t="n"/>
    </row>
    <row r="174">
      <c r="K174" s="4" t="n"/>
      <c r="L174" s="4" t="n"/>
      <c r="N174" s="4" t="n"/>
    </row>
    <row r="175">
      <c r="K175" s="4" t="n"/>
      <c r="L175" s="4" t="n"/>
      <c r="N175" s="4" t="n"/>
    </row>
    <row r="176">
      <c r="K176" s="4" t="n"/>
      <c r="L176" s="4" t="n"/>
      <c r="N176" s="4" t="n"/>
    </row>
    <row r="177">
      <c r="K177" s="4" t="n"/>
      <c r="L177" s="4" t="n"/>
      <c r="N177" s="4" t="n"/>
    </row>
    <row r="178">
      <c r="K178" s="4" t="n"/>
      <c r="L178" s="4" t="n"/>
      <c r="N178" s="4" t="n"/>
    </row>
    <row r="179">
      <c r="K179" s="4" t="n"/>
      <c r="L179" s="4" t="n"/>
      <c r="N179" s="4" t="n"/>
    </row>
    <row r="180">
      <c r="K180" s="4" t="n"/>
      <c r="L180" s="4" t="n"/>
      <c r="N180" s="4" t="n"/>
    </row>
    <row r="181">
      <c r="K181" s="4" t="n"/>
      <c r="L181" s="4" t="n"/>
      <c r="N181" s="4" t="n"/>
    </row>
    <row r="182">
      <c r="K182" s="4" t="n"/>
      <c r="L182" s="4" t="n"/>
      <c r="N182" s="4" t="n"/>
    </row>
    <row r="183">
      <c r="K183" s="4" t="n"/>
      <c r="L183" s="4" t="n"/>
      <c r="N183" s="4" t="n"/>
    </row>
    <row r="184">
      <c r="K184" s="4" t="n"/>
      <c r="L184" s="4" t="n"/>
      <c r="N184" s="4" t="n"/>
    </row>
    <row r="185">
      <c r="K185" s="4" t="n"/>
      <c r="L185" s="4" t="n"/>
      <c r="N185" s="4" t="n"/>
    </row>
    <row r="186">
      <c r="K186" s="4" t="n"/>
      <c r="L186" s="4" t="n"/>
      <c r="N186" s="4" t="n"/>
    </row>
    <row r="187">
      <c r="K187" s="4" t="n"/>
      <c r="L187" s="4" t="n"/>
      <c r="N187" s="4" t="n"/>
    </row>
    <row r="188">
      <c r="K188" s="4" t="n"/>
      <c r="L188" s="4" t="n"/>
      <c r="N188" s="4" t="n"/>
    </row>
    <row r="189">
      <c r="K189" s="4" t="n"/>
      <c r="L189" s="4" t="n"/>
      <c r="N189" s="4" t="n"/>
    </row>
    <row r="190">
      <c r="K190" s="4" t="n"/>
      <c r="L190" s="4" t="n"/>
      <c r="N190" s="4" t="n"/>
    </row>
    <row r="191">
      <c r="K191" s="4" t="n"/>
      <c r="L191" s="4" t="n"/>
      <c r="N191" s="4" t="n"/>
    </row>
    <row r="192">
      <c r="K192" s="4" t="n"/>
      <c r="L192" s="4" t="n"/>
      <c r="N192" s="4" t="n"/>
    </row>
    <row r="193">
      <c r="K193" s="4" t="n"/>
      <c r="L193" s="4" t="n"/>
      <c r="N193" s="4" t="n"/>
    </row>
    <row r="194">
      <c r="K194" s="4" t="n"/>
      <c r="L194" s="4" t="n"/>
      <c r="N194" s="4" t="n"/>
    </row>
    <row r="195">
      <c r="K195" s="4" t="n"/>
      <c r="L195" s="4" t="n"/>
      <c r="N195" s="4" t="n"/>
    </row>
    <row r="196">
      <c r="K196" s="4" t="n"/>
      <c r="L196" s="4" t="n"/>
      <c r="N196" s="4" t="n"/>
    </row>
    <row r="197">
      <c r="K197" s="4" t="n"/>
      <c r="L197" s="4" t="n"/>
      <c r="N197" s="4" t="n"/>
    </row>
    <row r="198">
      <c r="K198" s="4" t="n"/>
      <c r="L198" s="4" t="n"/>
      <c r="N198" s="4" t="n"/>
    </row>
    <row r="199">
      <c r="K199" s="4" t="n"/>
      <c r="L199" s="4" t="n"/>
      <c r="N199" s="4" t="n"/>
    </row>
    <row r="200">
      <c r="K200" s="4" t="n"/>
      <c r="L200" s="4" t="n"/>
      <c r="N200" s="4" t="n"/>
    </row>
    <row r="201">
      <c r="K201" s="4" t="n"/>
      <c r="L201" s="4" t="n"/>
      <c r="N201" s="4" t="n"/>
    </row>
    <row r="202">
      <c r="K202" s="4" t="n"/>
      <c r="L202" s="4" t="n"/>
      <c r="N202" s="4" t="n"/>
    </row>
    <row r="203">
      <c r="K203" s="4" t="n"/>
      <c r="L203" s="4" t="n"/>
      <c r="N203" s="4" t="n"/>
    </row>
    <row r="204">
      <c r="K204" s="4" t="n"/>
      <c r="L204" s="4" t="n"/>
      <c r="N204" s="4" t="n"/>
    </row>
    <row r="205">
      <c r="K205" s="4" t="n"/>
      <c r="L205" s="4" t="n"/>
      <c r="N205" s="4" t="n"/>
    </row>
    <row r="206">
      <c r="K206" s="4" t="n"/>
      <c r="L206" s="4" t="n"/>
      <c r="N206" s="4" t="n"/>
    </row>
    <row r="207">
      <c r="K207" s="4" t="n"/>
      <c r="L207" s="4" t="n"/>
      <c r="N207" s="4" t="n"/>
    </row>
    <row r="208">
      <c r="K208" s="4" t="n"/>
      <c r="L208" s="4" t="n"/>
      <c r="N208" s="4" t="n"/>
    </row>
    <row r="209">
      <c r="K209" s="4" t="n"/>
      <c r="L209" s="4" t="n"/>
      <c r="N209" s="4" t="n"/>
    </row>
    <row r="210">
      <c r="K210" s="4" t="n"/>
      <c r="L210" s="4" t="n"/>
      <c r="N210" s="4" t="n"/>
    </row>
    <row r="211">
      <c r="K211" s="4" t="n"/>
      <c r="L211" s="4" t="n"/>
      <c r="N211" s="4" t="n"/>
    </row>
    <row r="212">
      <c r="K212" s="4" t="n"/>
      <c r="L212" s="4" t="n"/>
      <c r="N212" s="4" t="n"/>
    </row>
    <row r="213">
      <c r="K213" s="4" t="n"/>
      <c r="L213" s="4" t="n"/>
      <c r="N213" s="4" t="n"/>
    </row>
    <row r="214">
      <c r="K214" s="4" t="n"/>
      <c r="L214" s="4" t="n"/>
      <c r="N214" s="4" t="n"/>
    </row>
    <row r="215">
      <c r="K215" s="4" t="n"/>
      <c r="L215" s="4" t="n"/>
      <c r="N215" s="4" t="n"/>
    </row>
    <row r="216">
      <c r="K216" s="4" t="n"/>
      <c r="L216" s="4" t="n"/>
      <c r="N216" s="4" t="n"/>
    </row>
    <row r="217">
      <c r="K217" s="4" t="n"/>
      <c r="L217" s="4" t="n"/>
      <c r="N217" s="4" t="n"/>
    </row>
    <row r="218">
      <c r="K218" s="4" t="n"/>
      <c r="L218" s="4" t="n"/>
      <c r="N218" s="4" t="n"/>
    </row>
    <row r="219">
      <c r="K219" s="4" t="n"/>
      <c r="L219" s="4" t="n"/>
      <c r="N219" s="4" t="n"/>
    </row>
    <row r="220">
      <c r="K220" s="4" t="n"/>
      <c r="L220" s="4" t="n"/>
      <c r="N220" s="4" t="n"/>
    </row>
    <row r="221">
      <c r="K221" s="4" t="n"/>
      <c r="L221" s="4" t="n"/>
      <c r="N221" s="4" t="n"/>
    </row>
    <row r="222">
      <c r="K222" s="4" t="n"/>
      <c r="L222" s="4" t="n"/>
      <c r="N222" s="4" t="n"/>
    </row>
    <row r="223">
      <c r="K223" s="4" t="n"/>
      <c r="L223" s="4" t="n"/>
      <c r="N223" s="4" t="n"/>
    </row>
    <row r="224">
      <c r="K224" s="4" t="n"/>
      <c r="L224" s="4" t="n"/>
      <c r="N224" s="4" t="n"/>
    </row>
    <row r="225">
      <c r="K225" s="4" t="n"/>
      <c r="L225" s="4" t="n"/>
      <c r="N225" s="4" t="n"/>
    </row>
    <row r="226">
      <c r="K226" s="4" t="n"/>
      <c r="L226" s="4" t="n"/>
      <c r="N226" s="4" t="n"/>
    </row>
    <row r="227">
      <c r="K227" s="4" t="n"/>
      <c r="L227" s="4" t="n"/>
      <c r="N227" s="4" t="n"/>
    </row>
    <row r="228">
      <c r="K228" s="4" t="n"/>
      <c r="L228" s="4" t="n"/>
      <c r="N228" s="4" t="n"/>
    </row>
    <row r="229">
      <c r="K229" s="4" t="n"/>
      <c r="L229" s="4" t="n"/>
      <c r="N229" s="4" t="n"/>
    </row>
    <row r="230">
      <c r="K230" s="4" t="n"/>
      <c r="L230" s="4" t="n"/>
      <c r="N230" s="4" t="n"/>
    </row>
    <row r="231">
      <c r="K231" s="4" t="n"/>
      <c r="L231" s="4" t="n"/>
      <c r="N231" s="4" t="n"/>
    </row>
    <row r="232">
      <c r="K232" s="4" t="n"/>
      <c r="L232" s="4" t="n"/>
      <c r="N232" s="4" t="n"/>
    </row>
    <row r="233">
      <c r="K233" s="4" t="n"/>
      <c r="L233" s="4" t="n"/>
      <c r="N233" s="4" t="n"/>
    </row>
    <row r="234">
      <c r="K234" s="4" t="n"/>
      <c r="L234" s="4" t="n"/>
      <c r="N234" s="4" t="n"/>
    </row>
    <row r="235">
      <c r="K235" s="4" t="n"/>
      <c r="L235" s="4" t="n"/>
      <c r="N235" s="4" t="n"/>
    </row>
    <row r="236">
      <c r="K236" s="4" t="n"/>
      <c r="L236" s="4" t="n"/>
      <c r="N236" s="4" t="n"/>
    </row>
    <row r="237">
      <c r="K237" s="4" t="n"/>
      <c r="L237" s="4" t="n"/>
      <c r="N237" s="4" t="n"/>
    </row>
    <row r="238">
      <c r="K238" s="4" t="n"/>
      <c r="L238" s="4" t="n"/>
      <c r="N238" s="4" t="n"/>
    </row>
    <row r="239">
      <c r="K239" s="4" t="n"/>
      <c r="L239" s="4" t="n"/>
      <c r="N239" s="4" t="n"/>
    </row>
    <row r="240">
      <c r="K240" s="4" t="n"/>
      <c r="L240" s="4" t="n"/>
      <c r="N240" s="4" t="n"/>
    </row>
    <row r="241">
      <c r="K241" s="4" t="n"/>
      <c r="L241" s="4" t="n"/>
      <c r="N241" s="4" t="n"/>
    </row>
    <row r="242">
      <c r="K242" s="4" t="n"/>
      <c r="L242" s="4" t="n"/>
      <c r="N242" s="4" t="n"/>
    </row>
    <row r="243">
      <c r="K243" s="4" t="n"/>
      <c r="L243" s="4" t="n"/>
      <c r="N243" s="4" t="n"/>
    </row>
    <row r="244">
      <c r="K244" s="4" t="n"/>
      <c r="L244" s="4" t="n"/>
      <c r="N244" s="4" t="n"/>
    </row>
    <row r="245">
      <c r="K245" s="4" t="n"/>
      <c r="L245" s="4" t="n"/>
      <c r="N245" s="4" t="n"/>
    </row>
    <row r="246">
      <c r="K246" s="4" t="n"/>
      <c r="L246" s="4" t="n"/>
      <c r="N246" s="4" t="n"/>
    </row>
    <row r="247">
      <c r="K247" s="4" t="n"/>
      <c r="L247" s="4" t="n"/>
      <c r="N247" s="4" t="n"/>
    </row>
    <row r="248">
      <c r="K248" s="4" t="n"/>
      <c r="L248" s="4" t="n"/>
      <c r="N248" s="4" t="n"/>
    </row>
    <row r="249">
      <c r="K249" s="4" t="n"/>
      <c r="L249" s="4" t="n"/>
      <c r="N249" s="4" t="n"/>
    </row>
    <row r="250">
      <c r="K250" s="4" t="n"/>
      <c r="L250" s="4" t="n"/>
      <c r="N250" s="4" t="n"/>
    </row>
    <row r="251">
      <c r="K251" s="4" t="n"/>
      <c r="L251" s="4" t="n"/>
      <c r="N251" s="4" t="n"/>
    </row>
    <row r="252">
      <c r="K252" s="4" t="n"/>
      <c r="L252" s="4" t="n"/>
      <c r="N252" s="4" t="n"/>
    </row>
    <row r="253">
      <c r="K253" s="4" t="n"/>
      <c r="L253" s="4" t="n"/>
      <c r="N253" s="4" t="n"/>
    </row>
    <row r="254">
      <c r="K254" s="4" t="n"/>
      <c r="L254" s="4" t="n"/>
      <c r="N254" s="4" t="n"/>
    </row>
    <row r="255">
      <c r="K255" s="4" t="n"/>
      <c r="L255" s="4" t="n"/>
      <c r="N255" s="4" t="n"/>
    </row>
    <row r="256">
      <c r="K256" s="4" t="n"/>
      <c r="L256" s="4" t="n"/>
      <c r="N256" s="4" t="n"/>
    </row>
    <row r="257">
      <c r="K257" s="4" t="n"/>
      <c r="L257" s="4" t="n"/>
      <c r="N257" s="4" t="n"/>
    </row>
    <row r="258">
      <c r="K258" s="4" t="n"/>
      <c r="L258" s="4" t="n"/>
      <c r="N258" s="4" t="n"/>
    </row>
    <row r="259">
      <c r="K259" s="4" t="n"/>
      <c r="L259" s="4" t="n"/>
      <c r="N259" s="4" t="n"/>
    </row>
    <row r="260">
      <c r="K260" s="4" t="n"/>
      <c r="L260" s="4" t="n"/>
      <c r="N260" s="4" t="n"/>
    </row>
    <row r="261">
      <c r="K261" s="4" t="n"/>
      <c r="L261" s="4" t="n"/>
      <c r="N261" s="4" t="n"/>
    </row>
    <row r="262">
      <c r="K262" s="4" t="n"/>
      <c r="L262" s="4" t="n"/>
      <c r="N262" s="4" t="n"/>
    </row>
    <row r="263">
      <c r="K263" s="4" t="n"/>
      <c r="L263" s="4" t="n"/>
      <c r="N263" s="4" t="n"/>
    </row>
    <row r="264">
      <c r="K264" s="4" t="n"/>
      <c r="L264" s="4" t="n"/>
      <c r="N264" s="4" t="n"/>
    </row>
    <row r="265">
      <c r="K265" s="4" t="n"/>
      <c r="L265" s="4" t="n"/>
      <c r="N265" s="4" t="n"/>
    </row>
    <row r="266">
      <c r="K266" s="4" t="n"/>
      <c r="L266" s="4" t="n"/>
      <c r="N266" s="4" t="n"/>
    </row>
    <row r="267">
      <c r="K267" s="4" t="n"/>
      <c r="L267" s="4" t="n"/>
      <c r="N267" s="4" t="n"/>
    </row>
    <row r="268">
      <c r="K268" s="4" t="n"/>
      <c r="L268" s="4" t="n"/>
      <c r="N268" s="4" t="n"/>
    </row>
    <row r="269">
      <c r="K269" s="4" t="n"/>
      <c r="L269" s="4" t="n"/>
      <c r="N269" s="4" t="n"/>
    </row>
    <row r="270">
      <c r="K270" s="4" t="n"/>
      <c r="L270" s="4" t="n"/>
      <c r="N270" s="4" t="n"/>
    </row>
    <row r="271">
      <c r="K271" s="4" t="n"/>
      <c r="L271" s="4" t="n"/>
      <c r="N271" s="4" t="n"/>
    </row>
    <row r="272">
      <c r="K272" s="4" t="n"/>
      <c r="L272" s="4" t="n"/>
      <c r="N272" s="4" t="n"/>
    </row>
    <row r="273">
      <c r="K273" s="4" t="n"/>
      <c r="L273" s="4" t="n"/>
      <c r="N273" s="4" t="n"/>
    </row>
    <row r="274">
      <c r="K274" s="4" t="n"/>
      <c r="L274" s="4" t="n"/>
      <c r="N274" s="4" t="n"/>
    </row>
    <row r="275">
      <c r="K275" s="4" t="n"/>
      <c r="L275" s="4" t="n"/>
      <c r="N275" s="4" t="n"/>
    </row>
    <row r="276">
      <c r="K276" s="4" t="n"/>
      <c r="L276" s="4" t="n"/>
      <c r="N276" s="4" t="n"/>
    </row>
    <row r="277">
      <c r="K277" s="4" t="n"/>
      <c r="L277" s="4" t="n"/>
      <c r="N277" s="4" t="n"/>
    </row>
    <row r="278">
      <c r="K278" s="4" t="n"/>
      <c r="L278" s="4" t="n"/>
      <c r="N278" s="4" t="n"/>
    </row>
    <row r="279">
      <c r="K279" s="4" t="n"/>
      <c r="L279" s="4" t="n"/>
      <c r="N279" s="4" t="n"/>
    </row>
    <row r="280">
      <c r="K280" s="4" t="n"/>
      <c r="L280" s="4" t="n"/>
      <c r="N280" s="4" t="n"/>
    </row>
    <row r="281">
      <c r="K281" s="4" t="n"/>
      <c r="L281" s="4" t="n"/>
      <c r="N281" s="4" t="n"/>
    </row>
    <row r="282">
      <c r="K282" s="4" t="n"/>
      <c r="L282" s="4" t="n"/>
      <c r="N282" s="4" t="n"/>
    </row>
    <row r="283">
      <c r="K283" s="4" t="n"/>
      <c r="L283" s="4" t="n"/>
      <c r="N283" s="4" t="n"/>
    </row>
    <row r="284">
      <c r="K284" s="4" t="n"/>
      <c r="L284" s="4" t="n"/>
      <c r="N284" s="4" t="n"/>
    </row>
    <row r="285">
      <c r="K285" s="4" t="n"/>
      <c r="L285" s="4" t="n"/>
      <c r="N285" s="4" t="n"/>
    </row>
    <row r="286">
      <c r="K286" s="4" t="n"/>
      <c r="L286" s="4" t="n"/>
      <c r="N286" s="4" t="n"/>
    </row>
    <row r="287">
      <c r="K287" s="4" t="n"/>
      <c r="L287" s="4" t="n"/>
      <c r="N287" s="4" t="n"/>
    </row>
    <row r="288">
      <c r="K288" s="4" t="n"/>
      <c r="L288" s="4" t="n"/>
      <c r="N288" s="4" t="n"/>
    </row>
    <row r="289">
      <c r="K289" s="4" t="n"/>
      <c r="L289" s="4" t="n"/>
      <c r="N289" s="4" t="n"/>
    </row>
    <row r="290">
      <c r="K290" s="4" t="n"/>
      <c r="L290" s="4" t="n"/>
      <c r="N290" s="4" t="n"/>
    </row>
    <row r="291">
      <c r="K291" s="4" t="n"/>
      <c r="L291" s="4" t="n"/>
      <c r="N291" s="4" t="n"/>
    </row>
    <row r="292">
      <c r="K292" s="4" t="n"/>
      <c r="L292" s="4" t="n"/>
      <c r="N292" s="4" t="n"/>
    </row>
    <row r="293">
      <c r="K293" s="4" t="n"/>
      <c r="L293" s="4" t="n"/>
      <c r="N293" s="4" t="n"/>
    </row>
    <row r="294">
      <c r="K294" s="4" t="n"/>
      <c r="L294" s="4" t="n"/>
      <c r="N294" s="4" t="n"/>
    </row>
    <row r="295">
      <c r="K295" s="4" t="n"/>
      <c r="L295" s="4" t="n"/>
      <c r="N295" s="4" t="n"/>
    </row>
    <row r="296">
      <c r="K296" s="4" t="n"/>
      <c r="L296" s="4" t="n"/>
      <c r="N296" s="4" t="n"/>
    </row>
    <row r="297">
      <c r="K297" s="4" t="n"/>
      <c r="L297" s="4" t="n"/>
      <c r="N297" s="4" t="n"/>
    </row>
    <row r="298">
      <c r="K298" s="4" t="n"/>
      <c r="L298" s="4" t="n"/>
      <c r="N298" s="4" t="n"/>
    </row>
    <row r="299">
      <c r="K299" s="4" t="n"/>
      <c r="L299" s="4" t="n"/>
      <c r="N299" s="4" t="n"/>
    </row>
    <row r="300">
      <c r="K300" s="4" t="n"/>
      <c r="L300" s="4" t="n"/>
      <c r="N300" s="4" t="n"/>
    </row>
    <row r="301">
      <c r="K301" s="4" t="n"/>
      <c r="L301" s="4" t="n"/>
      <c r="N301" s="4" t="n"/>
    </row>
    <row r="302">
      <c r="K302" s="4" t="n"/>
      <c r="L302" s="4" t="n"/>
      <c r="N302" s="4" t="n"/>
    </row>
    <row r="303">
      <c r="K303" s="4" t="n"/>
      <c r="L303" s="4" t="n"/>
      <c r="N303" s="4" t="n"/>
    </row>
    <row r="304">
      <c r="K304" s="4" t="n"/>
      <c r="L304" s="4" t="n"/>
      <c r="N304" s="4" t="n"/>
    </row>
    <row r="305">
      <c r="K305" s="4" t="n"/>
      <c r="L305" s="4" t="n"/>
      <c r="N305" s="4" t="n"/>
    </row>
    <row r="306">
      <c r="K306" s="4" t="n"/>
      <c r="L306" s="4" t="n"/>
      <c r="N306" s="4" t="n"/>
    </row>
    <row r="307">
      <c r="K307" s="4" t="n"/>
      <c r="L307" s="4" t="n"/>
      <c r="N307" s="4" t="n"/>
    </row>
    <row r="308">
      <c r="K308" s="4" t="n"/>
      <c r="L308" s="4" t="n"/>
      <c r="N308" s="4" t="n"/>
    </row>
    <row r="309">
      <c r="K309" s="4" t="n"/>
      <c r="L309" s="4" t="n"/>
      <c r="N309" s="4" t="n"/>
    </row>
    <row r="310">
      <c r="K310" s="4" t="n"/>
      <c r="L310" s="4" t="n"/>
      <c r="N310" s="4" t="n"/>
    </row>
    <row r="311">
      <c r="K311" s="4" t="n"/>
      <c r="L311" s="4" t="n"/>
      <c r="N311" s="4" t="n"/>
    </row>
    <row r="312">
      <c r="K312" s="4" t="n"/>
      <c r="L312" s="4" t="n"/>
      <c r="N312" s="4" t="n"/>
    </row>
    <row r="313">
      <c r="K313" s="4" t="n"/>
      <c r="L313" s="4" t="n"/>
      <c r="N313" s="4" t="n"/>
    </row>
    <row r="314">
      <c r="K314" s="4" t="n"/>
      <c r="L314" s="4" t="n"/>
      <c r="N314" s="4" t="n"/>
    </row>
    <row r="315">
      <c r="K315" s="4" t="n"/>
      <c r="L315" s="4" t="n"/>
      <c r="N315" s="4" t="n"/>
    </row>
    <row r="316">
      <c r="K316" s="4" t="n"/>
      <c r="L316" s="4" t="n"/>
      <c r="N316" s="4" t="n"/>
    </row>
    <row r="317">
      <c r="K317" s="4" t="n"/>
      <c r="L317" s="4" t="n"/>
      <c r="N317" s="4" t="n"/>
    </row>
    <row r="318">
      <c r="K318" s="4" t="n"/>
      <c r="L318" s="4" t="n"/>
      <c r="N318" s="4" t="n"/>
    </row>
    <row r="319">
      <c r="K319" s="4" t="n"/>
      <c r="L319" s="4" t="n"/>
      <c r="N319" s="4" t="n"/>
    </row>
    <row r="320">
      <c r="K320" s="4" t="n"/>
      <c r="L320" s="4" t="n"/>
      <c r="N320" s="4" t="n"/>
    </row>
    <row r="321">
      <c r="K321" s="4" t="n"/>
      <c r="L321" s="4" t="n"/>
      <c r="N321" s="4" t="n"/>
    </row>
    <row r="322">
      <c r="K322" s="4" t="n"/>
      <c r="L322" s="4" t="n"/>
      <c r="N322" s="4" t="n"/>
    </row>
    <row r="323">
      <c r="K323" s="4" t="n"/>
      <c r="L323" s="4" t="n"/>
      <c r="N323" s="4" t="n"/>
    </row>
    <row r="324">
      <c r="K324" s="4" t="n"/>
      <c r="L324" s="4" t="n"/>
      <c r="N324" s="4" t="n"/>
    </row>
    <row r="325">
      <c r="K325" s="4" t="n"/>
      <c r="L325" s="4" t="n"/>
      <c r="N325" s="4" t="n"/>
    </row>
    <row r="326">
      <c r="K326" s="4" t="n"/>
      <c r="L326" s="4" t="n"/>
      <c r="N326" s="4" t="n"/>
    </row>
    <row r="327">
      <c r="K327" s="4" t="n"/>
      <c r="L327" s="4" t="n"/>
      <c r="N327" s="4" t="n"/>
    </row>
    <row r="328">
      <c r="K328" s="4" t="n"/>
      <c r="L328" s="4" t="n"/>
      <c r="N328" s="4" t="n"/>
    </row>
    <row r="329">
      <c r="K329" s="4" t="n"/>
      <c r="L329" s="4" t="n"/>
      <c r="N329" s="4" t="n"/>
    </row>
    <row r="330">
      <c r="K330" s="4" t="n"/>
      <c r="L330" s="4" t="n"/>
      <c r="N330" s="4" t="n"/>
    </row>
    <row r="331">
      <c r="K331" s="4" t="n"/>
      <c r="L331" s="4" t="n"/>
      <c r="N331" s="4" t="n"/>
    </row>
    <row r="332">
      <c r="K332" s="4" t="n"/>
      <c r="L332" s="4" t="n"/>
      <c r="N332" s="4" t="n"/>
    </row>
    <row r="333">
      <c r="K333" s="4" t="n"/>
      <c r="L333" s="4" t="n"/>
      <c r="N333" s="4" t="n"/>
    </row>
    <row r="334">
      <c r="K334" s="4" t="n"/>
      <c r="L334" s="4" t="n"/>
      <c r="N334" s="4" t="n"/>
    </row>
    <row r="335">
      <c r="K335" s="4" t="n"/>
      <c r="L335" s="4" t="n"/>
      <c r="N335" s="4" t="n"/>
    </row>
    <row r="336">
      <c r="K336" s="4" t="n"/>
      <c r="L336" s="4" t="n"/>
      <c r="N336" s="4" t="n"/>
    </row>
    <row r="337">
      <c r="K337" s="4" t="n"/>
      <c r="L337" s="4" t="n"/>
      <c r="N337" s="4" t="n"/>
    </row>
    <row r="338">
      <c r="K338" s="4" t="n"/>
      <c r="L338" s="4" t="n"/>
      <c r="N338" s="4" t="n"/>
    </row>
    <row r="339">
      <c r="K339" s="4" t="n"/>
      <c r="L339" s="4" t="n"/>
      <c r="N339" s="4" t="n"/>
    </row>
    <row r="340">
      <c r="K340" s="4" t="n"/>
      <c r="L340" s="4" t="n"/>
      <c r="N340" s="4" t="n"/>
    </row>
    <row r="341">
      <c r="K341" s="4" t="n"/>
      <c r="L341" s="4" t="n"/>
      <c r="N341" s="4" t="n"/>
    </row>
    <row r="342">
      <c r="K342" s="4" t="n"/>
      <c r="L342" s="4" t="n"/>
      <c r="N342" s="4" t="n"/>
    </row>
    <row r="343">
      <c r="K343" s="4" t="n"/>
      <c r="L343" s="4" t="n"/>
      <c r="N343" s="4" t="n"/>
    </row>
    <row r="344">
      <c r="K344" s="4" t="n"/>
      <c r="L344" s="4" t="n"/>
      <c r="N344" s="4" t="n"/>
    </row>
    <row r="345">
      <c r="K345" s="4" t="n"/>
      <c r="L345" s="4" t="n"/>
      <c r="N345" s="4" t="n"/>
    </row>
    <row r="346">
      <c r="K346" s="4" t="n"/>
      <c r="L346" s="4" t="n"/>
      <c r="N346" s="4" t="n"/>
    </row>
    <row r="347">
      <c r="K347" s="4" t="n"/>
      <c r="L347" s="4" t="n"/>
      <c r="N347" s="4" t="n"/>
    </row>
    <row r="348">
      <c r="K348" s="4" t="n"/>
      <c r="L348" s="4" t="n"/>
      <c r="N348" s="4" t="n"/>
    </row>
    <row r="349">
      <c r="K349" s="4" t="n"/>
      <c r="L349" s="4" t="n"/>
      <c r="N349" s="4" t="n"/>
    </row>
    <row r="350">
      <c r="K350" s="4" t="n"/>
      <c r="L350" s="4" t="n"/>
      <c r="N350" s="4" t="n"/>
    </row>
    <row r="351">
      <c r="K351" s="4" t="n"/>
      <c r="L351" s="4" t="n"/>
      <c r="N351" s="4" t="n"/>
    </row>
    <row r="352">
      <c r="K352" s="4" t="n"/>
      <c r="L352" s="4" t="n"/>
      <c r="N352" s="4" t="n"/>
    </row>
    <row r="353">
      <c r="K353" s="4" t="n"/>
      <c r="L353" s="4" t="n"/>
      <c r="N353" s="4" t="n"/>
    </row>
    <row r="354">
      <c r="K354" s="4" t="n"/>
      <c r="L354" s="4" t="n"/>
      <c r="N354" s="4" t="n"/>
    </row>
    <row r="355">
      <c r="K355" s="4" t="n"/>
      <c r="L355" s="4" t="n"/>
      <c r="N355" s="4" t="n"/>
    </row>
    <row r="356">
      <c r="K356" s="4" t="n"/>
      <c r="L356" s="4" t="n"/>
      <c r="N356" s="4" t="n"/>
    </row>
    <row r="357">
      <c r="K357" s="4" t="n"/>
      <c r="L357" s="4" t="n"/>
      <c r="N357" s="4" t="n"/>
    </row>
    <row r="358">
      <c r="K358" s="4" t="n"/>
      <c r="L358" s="4" t="n"/>
      <c r="N358" s="4" t="n"/>
    </row>
    <row r="359">
      <c r="K359" s="4" t="n"/>
      <c r="L359" s="4" t="n"/>
      <c r="N359" s="4" t="n"/>
    </row>
    <row r="360">
      <c r="K360" s="4" t="n"/>
      <c r="L360" s="4" t="n"/>
      <c r="N360" s="4" t="n"/>
    </row>
    <row r="361">
      <c r="K361" s="4" t="n"/>
      <c r="L361" s="4" t="n"/>
      <c r="N361" s="4" t="n"/>
    </row>
    <row r="362">
      <c r="K362" s="4" t="n"/>
      <c r="L362" s="4" t="n"/>
      <c r="N362" s="4" t="n"/>
    </row>
    <row r="363">
      <c r="K363" s="4" t="n"/>
      <c r="L363" s="4" t="n"/>
      <c r="N363" s="4" t="n"/>
    </row>
    <row r="364">
      <c r="K364" s="4" t="n"/>
      <c r="L364" s="4" t="n"/>
      <c r="N364" s="4" t="n"/>
    </row>
    <row r="365">
      <c r="K365" s="4" t="n"/>
      <c r="L365" s="4" t="n"/>
      <c r="N365" s="4" t="n"/>
    </row>
    <row r="366">
      <c r="K366" s="4" t="n"/>
      <c r="L366" s="4" t="n"/>
      <c r="N366" s="4" t="n"/>
    </row>
    <row r="367">
      <c r="K367" s="4" t="n"/>
      <c r="L367" s="4" t="n"/>
      <c r="N367" s="4" t="n"/>
    </row>
    <row r="368">
      <c r="K368" s="4" t="n"/>
      <c r="L368" s="4" t="n"/>
      <c r="N368" s="4" t="n"/>
    </row>
    <row r="369">
      <c r="K369" s="4" t="n"/>
      <c r="L369" s="4" t="n"/>
      <c r="N369" s="4" t="n"/>
    </row>
    <row r="370">
      <c r="K370" s="4" t="n"/>
      <c r="L370" s="4" t="n"/>
      <c r="N370" s="4" t="n"/>
    </row>
    <row r="371">
      <c r="K371" s="4" t="n"/>
      <c r="L371" s="4" t="n"/>
      <c r="N371" s="4" t="n"/>
    </row>
    <row r="372">
      <c r="K372" s="4" t="n"/>
      <c r="L372" s="4" t="n"/>
      <c r="N372" s="4" t="n"/>
    </row>
    <row r="373">
      <c r="K373" s="4" t="n"/>
      <c r="L373" s="4" t="n"/>
      <c r="N373" s="4" t="n"/>
    </row>
    <row r="374">
      <c r="K374" s="4" t="n"/>
      <c r="L374" s="4" t="n"/>
      <c r="N374" s="4" t="n"/>
    </row>
    <row r="375">
      <c r="K375" s="4" t="n"/>
      <c r="L375" s="4" t="n"/>
      <c r="N375" s="4" t="n"/>
    </row>
    <row r="376">
      <c r="K376" s="4" t="n"/>
      <c r="L376" s="4" t="n"/>
      <c r="N376" s="4" t="n"/>
    </row>
    <row r="377">
      <c r="K377" s="4" t="n"/>
      <c r="L377" s="4" t="n"/>
      <c r="N377" s="4" t="n"/>
    </row>
    <row r="378">
      <c r="K378" s="4" t="n"/>
      <c r="L378" s="4" t="n"/>
      <c r="N378" s="4" t="n"/>
    </row>
    <row r="379">
      <c r="K379" s="4" t="n"/>
      <c r="L379" s="4" t="n"/>
      <c r="N379" s="4" t="n"/>
    </row>
    <row r="380">
      <c r="K380" s="4" t="n"/>
      <c r="L380" s="4" t="n"/>
      <c r="N380" s="4" t="n"/>
    </row>
    <row r="381">
      <c r="K381" s="4" t="n"/>
      <c r="L381" s="4" t="n"/>
      <c r="N381" s="4" t="n"/>
    </row>
    <row r="382">
      <c r="K382" s="4" t="n"/>
      <c r="L382" s="4" t="n"/>
      <c r="N382" s="4" t="n"/>
    </row>
    <row r="383">
      <c r="K383" s="4" t="n"/>
      <c r="L383" s="4" t="n"/>
      <c r="N383" s="4" t="n"/>
    </row>
    <row r="384">
      <c r="K384" s="4" t="n"/>
      <c r="L384" s="4" t="n"/>
      <c r="N384" s="4" t="n"/>
    </row>
    <row r="385">
      <c r="K385" s="4" t="n"/>
      <c r="L385" s="4" t="n"/>
      <c r="N385" s="4" t="n"/>
    </row>
    <row r="386">
      <c r="K386" s="4" t="n"/>
      <c r="L386" s="4" t="n"/>
      <c r="N386" s="4" t="n"/>
    </row>
    <row r="387">
      <c r="K387" s="4" t="n"/>
      <c r="L387" s="4" t="n"/>
      <c r="N387" s="4" t="n"/>
    </row>
    <row r="388">
      <c r="K388" s="4" t="n"/>
      <c r="L388" s="4" t="n"/>
      <c r="N388" s="4" t="n"/>
    </row>
    <row r="389">
      <c r="K389" s="4" t="n"/>
      <c r="L389" s="4" t="n"/>
      <c r="N389" s="4" t="n"/>
    </row>
    <row r="390">
      <c r="K390" s="4" t="n"/>
      <c r="L390" s="4" t="n"/>
      <c r="N390" s="4" t="n"/>
    </row>
    <row r="391">
      <c r="K391" s="4" t="n"/>
      <c r="L391" s="4" t="n"/>
      <c r="N391" s="4" t="n"/>
    </row>
    <row r="392">
      <c r="K392" s="4" t="n"/>
      <c r="L392" s="4" t="n"/>
      <c r="N392" s="4" t="n"/>
    </row>
    <row r="393">
      <c r="K393" s="4" t="n"/>
      <c r="L393" s="4" t="n"/>
      <c r="N393" s="4" t="n"/>
    </row>
    <row r="394">
      <c r="K394" s="4" t="n"/>
      <c r="L394" s="4" t="n"/>
      <c r="N394" s="4" t="n"/>
    </row>
    <row r="395">
      <c r="K395" s="4" t="n"/>
      <c r="L395" s="4" t="n"/>
      <c r="N395" s="4" t="n"/>
    </row>
    <row r="396">
      <c r="K396" s="4" t="n"/>
      <c r="L396" s="4" t="n"/>
      <c r="N396" s="4" t="n"/>
    </row>
    <row r="397">
      <c r="K397" s="4" t="n"/>
      <c r="L397" s="4" t="n"/>
      <c r="N397" s="4" t="n"/>
    </row>
    <row r="398">
      <c r="K398" s="4" t="n"/>
      <c r="L398" s="4" t="n"/>
      <c r="N398" s="4" t="n"/>
    </row>
    <row r="399">
      <c r="K399" s="4" t="n"/>
      <c r="L399" s="4" t="n"/>
      <c r="N399" s="4" t="n"/>
    </row>
    <row r="400">
      <c r="K400" s="4" t="n"/>
      <c r="L400" s="4" t="n"/>
      <c r="N400" s="4" t="n"/>
    </row>
    <row r="401">
      <c r="K401" s="4" t="n"/>
      <c r="L401" s="4" t="n"/>
      <c r="N401" s="4" t="n"/>
    </row>
    <row r="402">
      <c r="K402" s="4" t="n"/>
      <c r="L402" s="4" t="n"/>
      <c r="N402" s="4" t="n"/>
    </row>
    <row r="403">
      <c r="K403" s="4" t="n"/>
      <c r="L403" s="4" t="n"/>
      <c r="N403" s="4" t="n"/>
    </row>
    <row r="404">
      <c r="K404" s="4" t="n"/>
      <c r="L404" s="4" t="n"/>
      <c r="N404" s="4" t="n"/>
    </row>
    <row r="405">
      <c r="K405" s="4" t="n"/>
      <c r="L405" s="4" t="n"/>
      <c r="N405" s="4" t="n"/>
    </row>
    <row r="406">
      <c r="K406" s="4" t="n"/>
      <c r="L406" s="4" t="n"/>
      <c r="N406" s="4" t="n"/>
    </row>
    <row r="407">
      <c r="K407" s="4" t="n"/>
      <c r="L407" s="4" t="n"/>
      <c r="N407" s="4" t="n"/>
    </row>
    <row r="408">
      <c r="K408" s="4" t="n"/>
      <c r="L408" s="4" t="n"/>
      <c r="N408" s="4" t="n"/>
    </row>
    <row r="409">
      <c r="K409" s="4" t="n"/>
      <c r="L409" s="4" t="n"/>
      <c r="N409" s="4" t="n"/>
    </row>
    <row r="410">
      <c r="K410" s="4" t="n"/>
      <c r="L410" s="4" t="n"/>
      <c r="N410" s="4" t="n"/>
    </row>
    <row r="411">
      <c r="K411" s="4" t="n"/>
      <c r="L411" s="4" t="n"/>
      <c r="N411" s="4" t="n"/>
    </row>
    <row r="412">
      <c r="K412" s="4" t="n"/>
      <c r="L412" s="4" t="n"/>
      <c r="N412" s="4" t="n"/>
    </row>
    <row r="413">
      <c r="K413" s="4" t="n"/>
      <c r="L413" s="4" t="n"/>
      <c r="N413" s="4" t="n"/>
    </row>
    <row r="414">
      <c r="K414" s="4" t="n"/>
      <c r="L414" s="4" t="n"/>
      <c r="N414" s="4" t="n"/>
    </row>
    <row r="415">
      <c r="K415" s="4" t="n"/>
      <c r="L415" s="4" t="n"/>
      <c r="N415" s="4" t="n"/>
    </row>
    <row r="416">
      <c r="K416" s="4" t="n"/>
      <c r="L416" s="4" t="n"/>
      <c r="N416" s="4" t="n"/>
    </row>
    <row r="417">
      <c r="K417" s="4" t="n"/>
      <c r="L417" s="4" t="n"/>
      <c r="N417" s="4" t="n"/>
    </row>
    <row r="418">
      <c r="K418" s="4" t="n"/>
      <c r="L418" s="4" t="n"/>
      <c r="N418" s="4" t="n"/>
    </row>
    <row r="419">
      <c r="K419" s="4" t="n"/>
      <c r="L419" s="4" t="n"/>
      <c r="N419" s="4" t="n"/>
    </row>
    <row r="420">
      <c r="K420" s="4" t="n"/>
      <c r="L420" s="4" t="n"/>
      <c r="N420" s="4" t="n"/>
    </row>
    <row r="421">
      <c r="K421" s="4" t="n"/>
      <c r="L421" s="4" t="n"/>
      <c r="N421" s="4" t="n"/>
    </row>
    <row r="422">
      <c r="K422" s="4" t="n"/>
      <c r="L422" s="4" t="n"/>
      <c r="N422" s="4" t="n"/>
    </row>
    <row r="423">
      <c r="K423" s="4" t="n"/>
      <c r="L423" s="4" t="n"/>
      <c r="N423" s="4" t="n"/>
    </row>
    <row r="424">
      <c r="K424" s="4" t="n"/>
      <c r="L424" s="4" t="n"/>
      <c r="N424" s="4" t="n"/>
    </row>
    <row r="425">
      <c r="K425" s="4" t="n"/>
      <c r="L425" s="4" t="n"/>
      <c r="N425" s="4" t="n"/>
    </row>
    <row r="426">
      <c r="K426" s="4" t="n"/>
      <c r="L426" s="4" t="n"/>
      <c r="N426" s="4" t="n"/>
    </row>
    <row r="427">
      <c r="K427" s="4" t="n"/>
      <c r="L427" s="4" t="n"/>
      <c r="N427" s="4" t="n"/>
    </row>
    <row r="428">
      <c r="K428" s="4" t="n"/>
      <c r="L428" s="4" t="n"/>
      <c r="N428" s="4" t="n"/>
    </row>
    <row r="429">
      <c r="K429" s="4" t="n"/>
      <c r="L429" s="4" t="n"/>
      <c r="N429" s="4" t="n"/>
    </row>
    <row r="430">
      <c r="K430" s="4" t="n"/>
      <c r="L430" s="4" t="n"/>
      <c r="N430" s="4" t="n"/>
    </row>
    <row r="431">
      <c r="K431" s="4" t="n"/>
      <c r="L431" s="4" t="n"/>
      <c r="N431" s="4" t="n"/>
    </row>
    <row r="432">
      <c r="K432" s="4" t="n"/>
      <c r="L432" s="4" t="n"/>
      <c r="N432" s="4" t="n"/>
    </row>
    <row r="433">
      <c r="K433" s="4" t="n"/>
      <c r="L433" s="4" t="n"/>
      <c r="N433" s="4" t="n"/>
    </row>
    <row r="434">
      <c r="K434" s="4" t="n"/>
      <c r="L434" s="4" t="n"/>
      <c r="N434" s="4" t="n"/>
    </row>
    <row r="435">
      <c r="K435" s="4" t="n"/>
      <c r="L435" s="4" t="n"/>
      <c r="N435" s="4" t="n"/>
    </row>
    <row r="436">
      <c r="K436" s="4" t="n"/>
      <c r="L436" s="4" t="n"/>
      <c r="N436" s="4" t="n"/>
    </row>
    <row r="437">
      <c r="K437" s="4" t="n"/>
      <c r="L437" s="4" t="n"/>
      <c r="N437" s="4" t="n"/>
    </row>
    <row r="438">
      <c r="K438" s="4" t="n"/>
      <c r="L438" s="4" t="n"/>
      <c r="N438" s="4" t="n"/>
    </row>
    <row r="439">
      <c r="K439" s="4" t="n"/>
      <c r="L439" s="4" t="n"/>
      <c r="N439" s="4" t="n"/>
    </row>
    <row r="440">
      <c r="K440" s="4" t="n"/>
      <c r="L440" s="4" t="n"/>
      <c r="N440" s="4" t="n"/>
    </row>
    <row r="441">
      <c r="K441" s="4" t="n"/>
      <c r="L441" s="4" t="n"/>
      <c r="N441" s="4" t="n"/>
    </row>
    <row r="442">
      <c r="K442" s="4" t="n"/>
      <c r="L442" s="4" t="n"/>
      <c r="N442" s="4" t="n"/>
    </row>
    <row r="443">
      <c r="K443" s="4" t="n"/>
      <c r="L443" s="4" t="n"/>
      <c r="N443" s="4" t="n"/>
    </row>
    <row r="444">
      <c r="K444" s="4" t="n"/>
      <c r="L444" s="4" t="n"/>
      <c r="N444" s="4" t="n"/>
    </row>
    <row r="445">
      <c r="K445" s="4" t="n"/>
      <c r="L445" s="4" t="n"/>
      <c r="N445" s="4" t="n"/>
    </row>
    <row r="446">
      <c r="K446" s="4" t="n"/>
      <c r="L446" s="4" t="n"/>
      <c r="N446" s="4" t="n"/>
    </row>
    <row r="447">
      <c r="K447" s="4" t="n"/>
      <c r="L447" s="4" t="n"/>
      <c r="N447" s="4" t="n"/>
    </row>
    <row r="448">
      <c r="K448" s="4" t="n"/>
      <c r="L448" s="4" t="n"/>
      <c r="N448" s="4" t="n"/>
    </row>
    <row r="449">
      <c r="K449" s="4" t="n"/>
      <c r="L449" s="4" t="n"/>
      <c r="N449" s="4" t="n"/>
    </row>
    <row r="450">
      <c r="K450" s="4" t="n"/>
      <c r="L450" s="4" t="n"/>
      <c r="N450" s="4" t="n"/>
    </row>
    <row r="451">
      <c r="K451" s="4" t="n"/>
      <c r="L451" s="4" t="n"/>
      <c r="N451" s="4" t="n"/>
    </row>
    <row r="452">
      <c r="K452" s="4" t="n"/>
      <c r="L452" s="4" t="n"/>
      <c r="N452" s="4" t="n"/>
    </row>
    <row r="453">
      <c r="K453" s="4" t="n"/>
      <c r="L453" s="4" t="n"/>
      <c r="N453" s="4" t="n"/>
    </row>
    <row r="454">
      <c r="K454" s="4" t="n"/>
      <c r="L454" s="4" t="n"/>
      <c r="N454" s="4" t="n"/>
    </row>
    <row r="455">
      <c r="K455" s="4" t="n"/>
      <c r="L455" s="4" t="n"/>
      <c r="N455" s="4" t="n"/>
    </row>
    <row r="456">
      <c r="K456" s="4" t="n"/>
      <c r="L456" s="4" t="n"/>
      <c r="N456" s="4" t="n"/>
    </row>
    <row r="457">
      <c r="K457" s="4" t="n"/>
      <c r="L457" s="4" t="n"/>
      <c r="N457" s="4" t="n"/>
    </row>
    <row r="458">
      <c r="K458" s="4" t="n"/>
      <c r="L458" s="4" t="n"/>
      <c r="N458" s="4" t="n"/>
    </row>
    <row r="459">
      <c r="K459" s="4" t="n"/>
      <c r="L459" s="4" t="n"/>
      <c r="N459" s="4" t="n"/>
    </row>
    <row r="460">
      <c r="K460" s="4" t="n"/>
      <c r="L460" s="4" t="n"/>
      <c r="N460" s="4" t="n"/>
    </row>
    <row r="461">
      <c r="K461" s="4" t="n"/>
      <c r="L461" s="4" t="n"/>
      <c r="N461" s="4" t="n"/>
    </row>
    <row r="462">
      <c r="K462" s="4" t="n"/>
      <c r="L462" s="4" t="n"/>
      <c r="N462" s="4" t="n"/>
    </row>
    <row r="463">
      <c r="K463" s="4" t="n"/>
      <c r="L463" s="4" t="n"/>
      <c r="N463" s="4" t="n"/>
    </row>
    <row r="464">
      <c r="K464" s="4" t="n"/>
      <c r="L464" s="4" t="n"/>
      <c r="N464" s="4" t="n"/>
    </row>
    <row r="465">
      <c r="K465" s="4" t="n"/>
      <c r="L465" s="4" t="n"/>
      <c r="N465" s="4" t="n"/>
    </row>
    <row r="466">
      <c r="K466" s="4" t="n"/>
      <c r="L466" s="4" t="n"/>
      <c r="N466" s="4" t="n"/>
    </row>
    <row r="467">
      <c r="K467" s="4" t="n"/>
      <c r="L467" s="4" t="n"/>
      <c r="N467" s="4" t="n"/>
    </row>
    <row r="468">
      <c r="K468" s="4" t="n"/>
      <c r="L468" s="4" t="n"/>
      <c r="N468" s="4" t="n"/>
    </row>
    <row r="469">
      <c r="K469" s="4" t="n"/>
      <c r="L469" s="4" t="n"/>
      <c r="N469" s="4" t="n"/>
    </row>
    <row r="470">
      <c r="K470" s="4" t="n"/>
      <c r="L470" s="4" t="n"/>
      <c r="N470" s="4" t="n"/>
    </row>
    <row r="471">
      <c r="K471" s="4" t="n"/>
      <c r="L471" s="4" t="n"/>
      <c r="N471" s="4" t="n"/>
    </row>
    <row r="472">
      <c r="K472" s="4" t="n"/>
      <c r="L472" s="4" t="n"/>
      <c r="N472" s="4" t="n"/>
    </row>
    <row r="473">
      <c r="K473" s="4" t="n"/>
      <c r="L473" s="4" t="n"/>
      <c r="N473" s="4" t="n"/>
    </row>
    <row r="474">
      <c r="K474" s="4" t="n"/>
      <c r="L474" s="4" t="n"/>
      <c r="N474" s="4" t="n"/>
    </row>
    <row r="475">
      <c r="K475" s="4" t="n"/>
      <c r="L475" s="4" t="n"/>
      <c r="N475" s="4" t="n"/>
    </row>
    <row r="476">
      <c r="K476" s="4" t="n"/>
      <c r="L476" s="4" t="n"/>
      <c r="N476" s="4" t="n"/>
    </row>
    <row r="477">
      <c r="K477" s="4" t="n"/>
      <c r="L477" s="4" t="n"/>
      <c r="N477" s="4" t="n"/>
    </row>
    <row r="478">
      <c r="K478" s="4" t="n"/>
      <c r="L478" s="4" t="n"/>
      <c r="N478" s="4" t="n"/>
    </row>
    <row r="479">
      <c r="K479" s="4" t="n"/>
      <c r="L479" s="4" t="n"/>
      <c r="N479" s="4" t="n"/>
    </row>
    <row r="480">
      <c r="K480" s="4" t="n"/>
      <c r="L480" s="4" t="n"/>
      <c r="N480" s="4" t="n"/>
    </row>
    <row r="481">
      <c r="K481" s="4" t="n"/>
      <c r="L481" s="4" t="n"/>
      <c r="N481" s="4" t="n"/>
    </row>
    <row r="482">
      <c r="K482" s="4" t="n"/>
      <c r="L482" s="4" t="n"/>
      <c r="N482" s="4" t="n"/>
    </row>
    <row r="483">
      <c r="K483" s="4" t="n"/>
      <c r="L483" s="4" t="n"/>
      <c r="N483" s="4" t="n"/>
    </row>
    <row r="484">
      <c r="K484" s="4" t="n"/>
      <c r="L484" s="4" t="n"/>
      <c r="N484" s="4" t="n"/>
    </row>
    <row r="485">
      <c r="K485" s="4" t="n"/>
      <c r="L485" s="4" t="n"/>
      <c r="N485" s="4" t="n"/>
    </row>
    <row r="486">
      <c r="K486" s="4" t="n"/>
      <c r="L486" s="4" t="n"/>
      <c r="N486" s="4" t="n"/>
    </row>
    <row r="487">
      <c r="K487" s="4" t="n"/>
      <c r="L487" s="4" t="n"/>
      <c r="N487" s="4" t="n"/>
    </row>
    <row r="488">
      <c r="K488" s="4" t="n"/>
      <c r="L488" s="4" t="n"/>
      <c r="N488" s="4" t="n"/>
    </row>
    <row r="489">
      <c r="K489" s="4" t="n"/>
      <c r="L489" s="4" t="n"/>
      <c r="N489" s="4" t="n"/>
    </row>
    <row r="490">
      <c r="K490" s="4" t="n"/>
      <c r="L490" s="4" t="n"/>
      <c r="N490" s="4" t="n"/>
    </row>
    <row r="491">
      <c r="K491" s="4" t="n"/>
      <c r="L491" s="4" t="n"/>
      <c r="N491" s="4" t="n"/>
    </row>
    <row r="492">
      <c r="K492" s="4" t="n"/>
      <c r="L492" s="4" t="n"/>
      <c r="N492" s="4" t="n"/>
    </row>
    <row r="493">
      <c r="K493" s="4" t="n"/>
      <c r="L493" s="4" t="n"/>
      <c r="N493" s="4" t="n"/>
    </row>
    <row r="494">
      <c r="K494" s="4" t="n"/>
      <c r="L494" s="4" t="n"/>
      <c r="N494" s="4" t="n"/>
    </row>
    <row r="495">
      <c r="K495" s="4" t="n"/>
      <c r="L495" s="4" t="n"/>
      <c r="N495" s="4" t="n"/>
    </row>
    <row r="496">
      <c r="K496" s="4" t="n"/>
      <c r="L496" s="4" t="n"/>
      <c r="N496" s="4" t="n"/>
    </row>
    <row r="497">
      <c r="K497" s="4" t="n"/>
      <c r="L497" s="4" t="n"/>
      <c r="N497" s="4" t="n"/>
    </row>
    <row r="498">
      <c r="K498" s="4" t="n"/>
      <c r="L498" s="4" t="n"/>
      <c r="N498" s="4" t="n"/>
    </row>
    <row r="499">
      <c r="K499" s="4" t="n"/>
      <c r="L499" s="4" t="n"/>
      <c r="N499" s="4" t="n"/>
    </row>
    <row r="500">
      <c r="K500" s="4" t="n"/>
      <c r="L500" s="4" t="n"/>
      <c r="N500" s="4" t="n"/>
    </row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</sheetData>
  <autoFilter ref="A1:P500"/>
  <dataValidations count="6">
    <dataValidation sqref="I2:I500" showDropDown="0" showInputMessage="0" showErrorMessage="0" allowBlank="1" errorTitle="Invalid Status" error="Please select from the dropdown" type="list">
      <formula1>"Not Sent,Pending,Accepted,Declined"</formula1>
    </dataValidation>
    <dataValidation sqref="H2:H500" showDropDown="0" showInputMessage="0" showErrorMessage="0" allowBlank="1" type="list">
      <formula1>"1,2,3,4,5"</formula1>
    </dataValidation>
    <dataValidation sqref="J2:J500" showDropDown="0" showInputMessage="0" showErrorMessage="0" allowBlank="1" type="list">
      <formula1>"A1,A2,A3,A4,A5,A6,I1,I2"</formula1>
    </dataValidation>
    <dataValidation sqref="M2:M500" showDropDown="0" showInputMessage="0" showErrorMessage="0" allowBlank="1" type="list">
      <formula1>"None,F1 Sent,F2 Sent,F3 Sent,F4 Sent,Meeting Scheduled,Converted,Not Interested"</formula1>
    </dataValidation>
    <dataValidation sqref="P2:P500" showDropDown="0" showInputMessage="0" showErrorMessage="0" allowBlank="1" type="list">
      <formula1>"Not Yet,Discussed,Agreed - Referral,Agreed - White Label"</formula1>
    </dataValidation>
    <dataValidation sqref="D2:D500" showDropDown="0" showInputMessage="0" showErrorMessage="0" allowBlank="1" type="list">
      <formula1>"1-10,11-50,51-200,201-500,501-1000,1000+"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5" t="inlineStr">
        <is>
          <t>Campaign Metrics</t>
        </is>
      </c>
    </row>
    <row r="2">
      <c r="A2" s="6" t="inlineStr">
        <is>
          <t>Total Prospects</t>
        </is>
      </c>
      <c r="B2">
        <f>COUNTA('Prospect Pipeline'!A2:A500)</f>
        <v/>
      </c>
    </row>
    <row r="3">
      <c r="A3" s="6" t="inlineStr">
        <is>
          <t>Connections Sent</t>
        </is>
      </c>
      <c r="B3">
        <f>COUNTIF('Prospect Pipeline'!I2:I500,"Pending")+COUNTIF('Prospect Pipeline'!I2:I500,"Accepted")+COUNTIF('Prospect Pipeline'!I2:I500,"Declined")</f>
        <v/>
      </c>
    </row>
    <row r="4">
      <c r="A4" s="6" t="inlineStr">
        <is>
          <t>Connections Accepted</t>
        </is>
      </c>
      <c r="B4">
        <f>COUNTIF('Prospect Pipeline'!I2:I500,"Accepted")</f>
        <v/>
      </c>
    </row>
    <row r="5">
      <c r="A5" s="6" t="inlineStr">
        <is>
          <t>Acceptance Rate</t>
        </is>
      </c>
      <c r="B5">
        <f>IFERROR(B5/B4,0)</f>
        <v/>
      </c>
    </row>
    <row r="6">
      <c r="A6" s="6" t="inlineStr">
        <is>
          <t>Follow-Ups Sent</t>
        </is>
      </c>
      <c r="B6" s="7">
        <f>COUNTIF('Prospect Pipeline'!M2:M500,"F1 Sent")+COUNTIF('Prospect Pipeline'!M2:M500,"F2 Sent")+COUNTIF('Prospect Pipeline'!M2:M500,"F3 Sent")+COUNTIF('Prospect Pipeline'!M2:M500,"F4 Sent")</f>
        <v/>
      </c>
    </row>
    <row r="7">
      <c r="A7" s="6" t="inlineStr">
        <is>
          <t>Meetings Scheduled</t>
        </is>
      </c>
      <c r="B7">
        <f>COUNTIF('Prospect Pipeline'!M2:M500,"Meeting Scheduled")</f>
        <v/>
      </c>
    </row>
    <row r="8">
      <c r="A8" s="6" t="inlineStr">
        <is>
          <t>Converted Partners</t>
        </is>
      </c>
      <c r="B8">
        <f>COUNTIF('Prospect Pipeline'!M2:M500,"Converted")</f>
        <v/>
      </c>
    </row>
    <row r="9">
      <c r="A9" s="6" t="inlineStr">
        <is>
          <t>Conversion Rate</t>
        </is>
      </c>
      <c r="B9">
        <f>IFERROR(B9/B5,0)</f>
        <v/>
      </c>
    </row>
    <row r="10">
      <c r="A10" s="6" t="inlineStr"/>
      <c r="B10" s="7" t="n"/>
    </row>
    <row r="11">
      <c r="A11" s="5" t="inlineStr">
        <is>
          <t>Status Breakdown</t>
        </is>
      </c>
    </row>
    <row r="12">
      <c r="A12" s="6" t="inlineStr">
        <is>
          <t>Not Sent</t>
        </is>
      </c>
      <c r="B12">
        <f>COUNTIF('Prospect Pipeline'!I2:I500,"Not Sent")</f>
        <v/>
      </c>
    </row>
    <row r="13">
      <c r="A13" s="6" t="inlineStr">
        <is>
          <t>Pending</t>
        </is>
      </c>
      <c r="B13">
        <f>COUNTIF('Prospect Pipeline'!I2:I500,"Pending")</f>
        <v/>
      </c>
    </row>
    <row r="14">
      <c r="A14" s="6" t="inlineStr">
        <is>
          <t>Accepted</t>
        </is>
      </c>
      <c r="B14">
        <f>COUNTIF('Prospect Pipeline'!I2:I500,"Accepted")</f>
        <v/>
      </c>
    </row>
    <row r="15">
      <c r="A15" s="6" t="inlineStr">
        <is>
          <t>Declined</t>
        </is>
      </c>
      <c r="B15">
        <f>COUNTIF('Prospect Pipeline'!I2:I500,"Declined")</f>
        <v/>
      </c>
    </row>
    <row r="16">
      <c r="A16" s="6" t="inlineStr"/>
    </row>
    <row r="17">
      <c r="A17" s="5" t="inlineStr">
        <is>
          <t>Top Message Variants</t>
        </is>
      </c>
    </row>
    <row r="18">
      <c r="A18" s="6" t="inlineStr">
        <is>
          <t>A1 - Industry Update</t>
        </is>
      </c>
      <c r="B18">
        <f>COUNTIF('Prospect Pipeline'!J2:J500,"A1")</f>
        <v/>
      </c>
    </row>
    <row r="19">
      <c r="A19" s="6" t="inlineStr">
        <is>
          <t>A2 - Mutual Value</t>
        </is>
      </c>
      <c r="B19">
        <f>COUNTIF('Prospect Pipeline'!J2:J500,"A2")</f>
        <v/>
      </c>
    </row>
    <row r="20">
      <c r="A20" s="6" t="inlineStr">
        <is>
          <t>A3 - Specific Trigger</t>
        </is>
      </c>
      <c r="B20">
        <f>COUNTIF('Prospect Pipeline'!J2:J500,"A3")</f>
        <v/>
      </c>
    </row>
    <row r="21">
      <c r="A21" s="6" t="inlineStr">
        <is>
          <t>A4 - Port City</t>
        </is>
      </c>
      <c r="B21">
        <f>COUNTIF('Prospect Pipeline'!J2:J500,"A4")</f>
        <v/>
      </c>
    </row>
    <row r="22">
      <c r="A22" s="6" t="inlineStr">
        <is>
          <t>A5 - Referral Partner</t>
        </is>
      </c>
      <c r="B22">
        <f>COUNTIF('Prospect Pipeline'!J2:J500,"A5")</f>
        <v/>
      </c>
    </row>
    <row r="23">
      <c r="A23" s="6" t="inlineStr">
        <is>
          <t>A6 - Mutual Connection</t>
        </is>
      </c>
      <c r="B23">
        <f>COUNTIF('Prospect Pipeline'!J2:J500,"A6")</f>
        <v/>
      </c>
    </row>
    <row r="24">
      <c r="A24" s="6" t="inlineStr">
        <is>
          <t>I1 - Warm InMail</t>
        </is>
      </c>
      <c r="B24">
        <f>COUNTIF('Prospect Pipeline'!J2:J500,"I1")</f>
        <v/>
      </c>
    </row>
    <row r="25">
      <c r="A25" s="6" t="inlineStr">
        <is>
          <t>I2 - Data-Led InMail</t>
        </is>
      </c>
      <c r="B25">
        <f>COUNTIF('Prospect Pipeline'!J2:J500,"I2")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6" customWidth="1" min="4" max="4"/>
    <col width="40" customWidth="1" min="5" max="5"/>
  </cols>
  <sheetData>
    <row r="1">
      <c r="A1" s="1" t="inlineStr">
        <is>
          <t>Date</t>
        </is>
      </c>
      <c r="B1" s="1" t="inlineStr">
        <is>
          <t>Search Query</t>
        </is>
      </c>
      <c r="C1" s="1" t="inlineStr">
        <is>
          <t>Results Found</t>
        </is>
      </c>
      <c r="D1" s="1" t="inlineStr">
        <is>
          <t>Prospects Added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0" customWidth="1" min="4" max="4"/>
    <col width="13" customWidth="1" min="5" max="5"/>
    <col width="35" customWidth="1" min="6" max="6"/>
    <col width="40" customWidth="1" min="7" max="7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Current Stage</t>
        </is>
      </c>
      <c r="D1" s="1" t="inlineStr">
        <is>
          <t>Next Action</t>
        </is>
      </c>
      <c r="E1" s="1" t="inlineStr">
        <is>
          <t>Due Date</t>
        </is>
      </c>
      <c r="F1" s="1" t="inlineStr">
        <is>
          <t>Profile URL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2026-03-26T23:32:34Z</dcterms:created>
  <dcterms:modified xmlns:dcterms="http://purl.org/dc/terms/" xmlns:xsi="http://www.w3.org/2001/XMLSchema-instance" xsi:type="dcterms:W3CDTF">2026-03-27T04:54:33Z</dcterms:modified>
</cp:coreProperties>
</file>